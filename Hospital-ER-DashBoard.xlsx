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anura\Documents\"/>
    </mc:Choice>
  </mc:AlternateContent>
  <xr:revisionPtr revIDLastSave="0" documentId="13_ncr:1_{FEB92496-74A5-460D-88C2-2DB0D5758DE6}" xr6:coauthVersionLast="47" xr6:coauthVersionMax="47" xr10:uidLastSave="{00000000-0000-0000-0000-000000000000}"/>
  <bookViews>
    <workbookView xWindow="-110" yWindow="-110" windowWidth="19420" windowHeight="11500" activeTab="1" xr2:uid="{7A85A853-6A06-4CCD-ACDF-11A37257054F}"/>
  </bookViews>
  <sheets>
    <sheet name="Pivot Report" sheetId="1" r:id="rId1"/>
    <sheet name="DashBoard" sheetId="2" r:id="rId2"/>
    <sheet name="No. of Admissions" sheetId="4" r:id="rId3"/>
    <sheet name="Average Wait-Time" sheetId="5" r:id="rId4"/>
    <sheet name="Satisfaction Score" sheetId="6" r:id="rId5"/>
    <sheet name="Sheet2" sheetId="7" r:id="rId6"/>
  </sheets>
  <definedNames>
    <definedName name="Slicer_Date__Month">#N/A</definedName>
    <definedName name="Slicer_Date__Year">#N/A</definedName>
  </definedNames>
  <calcPr calcId="191029"/>
  <pivotCaches>
    <pivotCache cacheId="436" r:id="rId7"/>
    <pivotCache cacheId="439" r:id="rId8"/>
    <pivotCache cacheId="442" r:id="rId9"/>
    <pivotCache cacheId="445" r:id="rId10"/>
    <pivotCache cacheId="448" r:id="rId11"/>
    <pivotCache cacheId="451" r:id="rId12"/>
    <pivotCache cacheId="454" r:id="rId13"/>
    <pivotCache cacheId="457" r:id="rId14"/>
    <pivotCache cacheId="460" r:id="rId15"/>
    <pivotCache cacheId="463" r:id="rId16"/>
    <pivotCache cacheId="466" r:id="rId17"/>
    <pivotCache cacheId="469" r:id="rId18"/>
  </pivotCaches>
  <extLst>
    <ext xmlns:x14="http://schemas.microsoft.com/office/spreadsheetml/2009/9/main" uri="{876F7934-8845-4945-9796-88D515C7AA90}">
      <x14:pivotCaches>
        <pivotCache cacheId="171"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9873580f-6331-4175-a5d1-7eff4c458d20" name="Hospital Emergency Room Data" connection="Query - Hospital Emergency Room Data"/>
          <x15:modelTable id="Calendar_8ce6dc87-0cf6-494b-839c-c09056fa79b7" name="Calendar" connection="Query - Calendar"/>
        </x15:modelTables>
        <x15:modelRelationships>
          <x15:modelRelationship fromTable="Hospital Emergency Room Data" fromColumn="Patient Admission Date" toTable="Calendar" toColumn="Date"/>
        </x15:modelRelationships>
        <x15:extLst>
          <ext xmlns:x16="http://schemas.microsoft.com/office/spreadsheetml/2014/11/main" uri="{9835A34E-60A6-4A7C-AAB8-D5F71C897F49}">
            <x16:modelTimeGroupings>
              <x16:modelTimeGrouping tableName="Calendar"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3" i="1" l="1"/>
  <c r="R13" i="1"/>
  <c r="P13" i="1"/>
  <c r="Q12" i="1"/>
  <c r="R12" i="1"/>
  <c r="P1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5D3CBC6-0324-4740-8864-4670DACE3843}" name="Query - Calendar" description="Connection to the 'Calendar' query in the workbook." type="100" refreshedVersion="8" minRefreshableVersion="5">
    <extLst>
      <ext xmlns:x15="http://schemas.microsoft.com/office/spreadsheetml/2010/11/main" uri="{DE250136-89BD-433C-8126-D09CA5730AF9}">
        <x15:connection id="3d3237b0-fb0b-41d2-adeb-99e7c568f3be"/>
      </ext>
    </extLst>
  </connection>
  <connection id="2" xr16:uid="{A2D76F2F-400A-49BC-86E4-2CBF7781127F}"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ec7f8a18-9baa-42f6-9ed8-102417d858ee"/>
      </ext>
    </extLst>
  </connection>
  <connection id="3" xr16:uid="{6FAF91E5-AAFF-4D66-A13C-74B5DA3310C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<sst xmlns="http://schemas.openxmlformats.org/spreadsheetml/2006/main" count="143" uniqueCount="70">
  <si>
    <t>Distinct Count of Patient Id</t>
  </si>
  <si>
    <t>Average of Patient Waittime</t>
  </si>
  <si>
    <t>Average of Patient Satisfaction Score</t>
  </si>
  <si>
    <t>Row Labels</t>
  </si>
  <si>
    <t>Grand Total</t>
  </si>
  <si>
    <t>Day</t>
  </si>
  <si>
    <t>Count of Patient Attend Status</t>
  </si>
  <si>
    <t>Count of Patient Admission Flag</t>
  </si>
  <si>
    <t>Admitted</t>
  </si>
  <si>
    <t>Not Admitted</t>
  </si>
  <si>
    <t>Admisssion Status</t>
  </si>
  <si>
    <t>% of Patient Admission</t>
  </si>
  <si>
    <t>Admissiom Status</t>
  </si>
  <si>
    <t>No. of Patient</t>
  </si>
  <si>
    <t>% Status</t>
  </si>
  <si>
    <t>0-9</t>
  </si>
  <si>
    <t>10-19</t>
  </si>
  <si>
    <t>20-29</t>
  </si>
  <si>
    <t>30-39</t>
  </si>
  <si>
    <t>40-49</t>
  </si>
  <si>
    <t>50-59</t>
  </si>
  <si>
    <t>60-69</t>
  </si>
  <si>
    <t>70-79</t>
  </si>
  <si>
    <t>Count of Age Group</t>
  </si>
  <si>
    <t>Age Group</t>
  </si>
  <si>
    <t>Delay</t>
  </si>
  <si>
    <t>On-Time</t>
  </si>
  <si>
    <t>Female</t>
  </si>
  <si>
    <t>Male</t>
  </si>
  <si>
    <t>Count of Patient Gender</t>
  </si>
  <si>
    <t>Cardiology</t>
  </si>
  <si>
    <t>Gastroenterology</t>
  </si>
  <si>
    <t>General Practice</t>
  </si>
  <si>
    <t>Neurology</t>
  </si>
  <si>
    <t>None</t>
  </si>
  <si>
    <t>Orthopedics</t>
  </si>
  <si>
    <t>Physiotherapy</t>
  </si>
  <si>
    <t>Renal</t>
  </si>
  <si>
    <t>Count of Department Referral</t>
  </si>
  <si>
    <t>2024</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</si>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</sst>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5">
    <fill>
      <patternFill patternType="none"/>
    </fill>
    <fill>
      <patternFill patternType="gray125"/>
    </fill>
    <fill>
      <patternFill patternType="solid">
        <fgColor theme="1" tint="0.249977111117893"/>
        <bgColor indexed="64"/>
      </patternFill>
    </fill>
    <fill>
      <patternFill patternType="solid">
        <fgColor theme="2"/>
        <bgColor indexed="64"/>
      </patternFill>
    </fill>
    <fill>
      <patternFill patternType="solid">
        <fgColor theme="4" tint="0.39997558519241921"/>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pivotButton="1"/>
    <xf numFmtId="0" fontId="0" fillId="2" borderId="0" xfId="0" applyFill="1"/>
    <xf numFmtId="2" fontId="0" fillId="0" borderId="0" xfId="0" applyNumberFormat="1"/>
    <xf numFmtId="0" fontId="0" fillId="0" borderId="0" xfId="0" applyAlignment="1">
      <alignment horizontal="left"/>
    </xf>
    <xf numFmtId="0" fontId="0" fillId="3" borderId="0" xfId="0" applyFill="1"/>
    <xf numFmtId="10" fontId="0" fillId="0" borderId="0" xfId="0" applyNumberFormat="1"/>
    <xf numFmtId="0" fontId="0" fillId="4" borderId="0" xfId="0" applyFill="1" applyAlignment="1">
      <alignment horizontal="left"/>
    </xf>
    <xf numFmtId="0" fontId="0" fillId="4" borderId="0" xfId="0" applyFill="1"/>
    <xf numFmtId="0" fontId="0" fillId="4" borderId="0" xfId="0" applyFill="1" applyAlignment="1">
      <alignment horizontal="center"/>
    </xf>
    <xf numFmtId="10" fontId="0" fillId="3" borderId="0" xfId="0" applyNumberFormat="1" applyFill="1"/>
    <xf numFmtId="1" fontId="0" fillId="0" borderId="0" xfId="0" applyNumberFormat="1"/>
    <xf numFmtId="0" fontId="0" fillId="0" borderId="0" xfId="0" applyNumberFormat="1"/>
  </cellXfs>
  <cellStyles count="1">
    <cellStyle name="Normal" xfId="0" builtinId="0"/>
  </cellStyles>
  <dxfs count="284">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14" formatCode="0.0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14" formatCode="0.0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14" formatCode="0.0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14" formatCode="0.0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font>
        <b/>
        <color theme="1"/>
      </font>
      <border>
        <bottom style="thin">
          <color theme="5"/>
        </bottom>
        <vertical/>
        <horizontal/>
      </border>
    </dxf>
    <dxf>
      <font>
        <sz val="7"/>
        <color theme="1"/>
      </font>
      <fill>
        <patternFill patternType="solid">
          <bgColor theme="0" tint="-4.9989318521683403E-2"/>
        </patternFill>
      </fill>
      <border diagonalUp="0" diagonalDown="0">
        <left/>
        <right/>
        <top/>
        <bottom/>
        <vertical/>
        <horizontal/>
      </border>
    </dxf>
  </dxfs>
  <tableStyles count="1" defaultTableStyle="TableStyleMedium2" defaultPivotStyle="PivotStyleLight16">
    <tableStyle name="My Style" pivot="0" table="0" count="10" xr9:uid="{446B56C7-657B-4A6A-8349-C0868D18E182}">
      <tableStyleElement type="wholeTable" dxfId="283"/>
      <tableStyleElement type="headerRow" dxfId="282"/>
    </tableStyle>
  </tableStyles>
  <colors>
    <mruColors>
      <color rgb="FFD83CBA"/>
      <color rgb="FF9966FF"/>
      <color rgb="FF9D67F5"/>
      <color rgb="FF9976F2"/>
      <color rgb="FFC6429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1.xml"/><Relationship Id="rId41" Type="http://schemas.openxmlformats.org/officeDocument/2006/relationships/customXml" Target="../customXml/item1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Report!PivotTable8</c:name>
    <c:fmtId val="8"/>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810A559-5362-448A-B99F-EEE7AACE2DA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3CBA778-AB53-40EE-A427-7A56ADD758D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3CBA778-AB53-40EE-A427-7A56ADD758D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810A559-5362-448A-B99F-EEE7AACE2DA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none" lIns="0" tIns="0" rIns="0" bIns="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13"/>
        <c:spPr>
          <a:solidFill>
            <a:schemeClr val="accent1"/>
          </a:solidFill>
          <a:ln>
            <a:noFill/>
          </a:ln>
          <a:effectLst/>
        </c:spPr>
        <c:dLbl>
          <c:idx val="0"/>
          <c:tx>
            <c:rich>
              <a:bodyPr rot="0" spcFirstLastPara="1" vertOverflow="ellipsis" vert="horz" wrap="none" lIns="0" tIns="0" rIns="0" bIns="0" anchor="ctr" anchorCtr="1">
                <a:spAutoFit/>
              </a:bodyPr>
              <a:lstStyle/>
              <a:p>
                <a:pPr>
                  <a:defRPr sz="500" b="0" i="0" u="none" strike="noStrike" kern="1200" baseline="0">
                    <a:solidFill>
                      <a:schemeClr val="tx1">
                        <a:lumMod val="75000"/>
                        <a:lumOff val="25000"/>
                      </a:schemeClr>
                    </a:solidFill>
                    <a:latin typeface="+mn-lt"/>
                    <a:ea typeface="+mn-ea"/>
                    <a:cs typeface="+mn-cs"/>
                  </a:defRPr>
                </a:pPr>
                <a:fld id="{251B31AA-E58E-48F1-9EE1-15F6AE848F37}" type="CELLRANGE">
                  <a:rPr lang="en-US"/>
                  <a:pPr>
                    <a:defRPr sz="5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14"/>
        <c:spPr>
          <a:solidFill>
            <a:schemeClr val="accent1"/>
          </a:solidFill>
          <a:ln>
            <a:noFill/>
          </a:ln>
          <a:effectLst/>
        </c:spPr>
        <c:dLbl>
          <c:idx val="0"/>
          <c:tx>
            <c:rich>
              <a:bodyPr rot="0" spcFirstLastPara="1" vertOverflow="ellipsis" vert="horz" wrap="none" lIns="0" tIns="0" rIns="0" bIns="0" anchor="ctr" anchorCtr="1">
                <a:spAutoFit/>
              </a:bodyPr>
              <a:lstStyle/>
              <a:p>
                <a:pPr>
                  <a:defRPr sz="500" b="0" i="0" u="none" strike="noStrike" kern="1200" baseline="0">
                    <a:solidFill>
                      <a:schemeClr val="tx1">
                        <a:lumMod val="75000"/>
                        <a:lumOff val="25000"/>
                      </a:schemeClr>
                    </a:solidFill>
                    <a:latin typeface="+mn-lt"/>
                    <a:ea typeface="+mn-ea"/>
                    <a:cs typeface="+mn-cs"/>
                  </a:defRPr>
                </a:pPr>
                <a:fld id="{52648329-AD0B-46CB-B695-3EE88A0887D8}" type="CELLRANGE">
                  <a:rPr lang="en-US"/>
                  <a:pPr>
                    <a:defRPr sz="5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
        <c:idx val="15"/>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4.3723952465028505E-2"/>
          <c:y val="4.1667912608294985E-2"/>
          <c:w val="0.95627577449578416"/>
          <c:h val="0.89814814814814814"/>
        </c:manualLayout>
      </c:layout>
      <c:barChart>
        <c:barDir val="bar"/>
        <c:grouping val="clustered"/>
        <c:varyColors val="0"/>
        <c:ser>
          <c:idx val="0"/>
          <c:order val="0"/>
          <c:tx>
            <c:strRef>
              <c:f>'Pivot Report'!$R$6:$R$7</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F179-47D7-A2FC-47547597E13C}"/>
              </c:ext>
            </c:extLst>
          </c:dPt>
          <c:dPt>
            <c:idx val="1"/>
            <c:invertIfNegative val="0"/>
            <c:bubble3D val="0"/>
            <c:extLst>
              <c:ext xmlns:c16="http://schemas.microsoft.com/office/drawing/2014/chart" uri="{C3380CC4-5D6E-409C-BE32-E72D297353CC}">
                <c16:uniqueId val="{00000001-F179-47D7-A2FC-47547597E13C}"/>
              </c:ext>
            </c:extLst>
          </c:dPt>
          <c:dLbls>
            <c:dLbl>
              <c:idx val="0"/>
              <c:tx>
                <c:rich>
                  <a:bodyPr rot="0" spcFirstLastPara="1" vertOverflow="ellipsis" vert="horz" wrap="none" lIns="0" tIns="0" rIns="0" bIns="0" anchor="ctr" anchorCtr="1">
                    <a:spAutoFit/>
                  </a:bodyPr>
                  <a:lstStyle/>
                  <a:p>
                    <a:pPr>
                      <a:defRPr sz="500" b="0" i="0" u="none" strike="noStrike" kern="1200" baseline="0">
                        <a:solidFill>
                          <a:schemeClr val="tx1">
                            <a:lumMod val="75000"/>
                            <a:lumOff val="25000"/>
                          </a:schemeClr>
                        </a:solidFill>
                        <a:latin typeface="+mn-lt"/>
                        <a:ea typeface="+mn-ea"/>
                        <a:cs typeface="+mn-cs"/>
                      </a:defRPr>
                    </a:pPr>
                    <a:fld id="{251B31AA-E58E-48F1-9EE1-15F6AE848F37}" type="CELLRANGE">
                      <a:rPr lang="en-US"/>
                      <a:pPr>
                        <a:defRPr sz="5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 xmlns:c16="http://schemas.microsoft.com/office/drawing/2014/chart" uri="{C3380CC4-5D6E-409C-BE32-E72D297353CC}">
                  <c16:uniqueId val="{00000000-F179-47D7-A2FC-47547597E13C}"/>
                </c:ext>
              </c:extLst>
            </c:dLbl>
            <c:dLbl>
              <c:idx val="1"/>
              <c:tx>
                <c:rich>
                  <a:bodyPr rot="0" spcFirstLastPara="1" vertOverflow="ellipsis" vert="horz" wrap="none" lIns="0" tIns="0" rIns="0" bIns="0" anchor="ctr" anchorCtr="1">
                    <a:spAutoFit/>
                  </a:bodyPr>
                  <a:lstStyle/>
                  <a:p>
                    <a:pPr>
                      <a:defRPr sz="500" b="0" i="0" u="none" strike="noStrike" kern="1200" baseline="0">
                        <a:solidFill>
                          <a:schemeClr val="tx1">
                            <a:lumMod val="75000"/>
                            <a:lumOff val="25000"/>
                          </a:schemeClr>
                        </a:solidFill>
                        <a:latin typeface="+mn-lt"/>
                        <a:ea typeface="+mn-ea"/>
                        <a:cs typeface="+mn-cs"/>
                      </a:defRPr>
                    </a:pPr>
                    <a:fld id="{52648329-AD0B-46CB-B695-3EE88A0887D8}" type="CELLRANGE">
                      <a:rPr lang="en-US"/>
                      <a:pPr>
                        <a:defRPr sz="5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 xmlns:c16="http://schemas.microsoft.com/office/drawing/2014/chart" uri="{C3380CC4-5D6E-409C-BE32-E72D297353CC}">
                  <c16:uniqueId val="{00000001-F179-47D7-A2FC-47547597E13C}"/>
                </c:ext>
              </c:extLst>
            </c:dLbl>
            <c:spPr>
              <a:noFill/>
              <a:ln>
                <a:noFill/>
              </a:ln>
              <a:effectLst/>
            </c:spPr>
            <c:txPr>
              <a:bodyPr rot="0" spcFirstLastPara="1" vertOverflow="ellipsis" vert="horz" wrap="none" lIns="0" tIns="0" rIns="0" bIns="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Report'!$R$6:$R$7</c:f>
              <c:strCache>
                <c:ptCount val="2"/>
                <c:pt idx="0">
                  <c:v>Admitted</c:v>
                </c:pt>
                <c:pt idx="1">
                  <c:v>Not Admitted</c:v>
                </c:pt>
              </c:strCache>
            </c:strRef>
          </c:cat>
          <c:val>
            <c:numRef>
              <c:f>'Pivot Report'!$R$6:$R$7</c:f>
              <c:numCache>
                <c:formatCode>0.00</c:formatCode>
                <c:ptCount val="2"/>
                <c:pt idx="0">
                  <c:v>217</c:v>
                </c:pt>
                <c:pt idx="1">
                  <c:v>252</c:v>
                </c:pt>
              </c:numCache>
            </c:numRef>
          </c:val>
          <c:extLst>
            <c:ext xmlns:c15="http://schemas.microsoft.com/office/drawing/2012/chart" uri="{02D57815-91ED-43cb-92C2-25804820EDAC}">
              <c15:datalabelsRange>
                <c15:f>'Pivot Report'!$R$6:$R$7</c15:f>
                <c15:dlblRangeCache>
                  <c:ptCount val="2"/>
                  <c:pt idx="0">
                    <c:v>46.27%</c:v>
                  </c:pt>
                  <c:pt idx="1">
                    <c:v>53.73%</c:v>
                  </c:pt>
                </c15:dlblRangeCache>
              </c15:datalabelsRange>
            </c:ext>
            <c:ext xmlns:c16="http://schemas.microsoft.com/office/drawing/2014/chart" uri="{C3380CC4-5D6E-409C-BE32-E72D297353CC}">
              <c16:uniqueId val="{00000002-F179-47D7-A2FC-47547597E13C}"/>
            </c:ext>
          </c:extLst>
        </c:ser>
        <c:ser>
          <c:idx val="1"/>
          <c:order val="1"/>
          <c:tx>
            <c:strRef>
              <c:f>'Pivot Report'!$R$6:$R$7</c:f>
              <c:strCache>
                <c:ptCount val="1"/>
                <c:pt idx="0">
                  <c:v>% of Patient Admission</c:v>
                </c:pt>
              </c:strCache>
            </c:strRef>
          </c:tx>
          <c:spPr>
            <a:solidFill>
              <a:schemeClr val="accent2"/>
            </a:solidFill>
            <a:ln>
              <a:noFill/>
            </a:ln>
            <a:effectLst/>
          </c:spPr>
          <c:invertIfNegative val="0"/>
          <c:cat>
            <c:strRef>
              <c:f>'Pivot Report'!$R$6:$R$7</c:f>
              <c:strCache>
                <c:ptCount val="2"/>
                <c:pt idx="0">
                  <c:v>Admitted</c:v>
                </c:pt>
                <c:pt idx="1">
                  <c:v>Not Admitted</c:v>
                </c:pt>
              </c:strCache>
            </c:strRef>
          </c:cat>
          <c:val>
            <c:numRef>
              <c:f>'Pivot Report'!$R$6:$R$7</c:f>
              <c:numCache>
                <c:formatCode>0.00%</c:formatCode>
                <c:ptCount val="2"/>
                <c:pt idx="0">
                  <c:v>0.46268656716417911</c:v>
                </c:pt>
                <c:pt idx="1">
                  <c:v>0.53731343283582089</c:v>
                </c:pt>
              </c:numCache>
            </c:numRef>
          </c:val>
          <c:extLst>
            <c:ext xmlns:c16="http://schemas.microsoft.com/office/drawing/2014/chart" uri="{C3380CC4-5D6E-409C-BE32-E72D297353CC}">
              <c16:uniqueId val="{00000006-F179-47D7-A2FC-47547597E13C}"/>
            </c:ext>
          </c:extLst>
        </c:ser>
        <c:dLbls>
          <c:showLegendKey val="0"/>
          <c:showVal val="0"/>
          <c:showCatName val="0"/>
          <c:showSerName val="0"/>
          <c:showPercent val="0"/>
          <c:showBubbleSize val="0"/>
        </c:dLbls>
        <c:gapWidth val="54"/>
        <c:overlap val="20"/>
        <c:axId val="1922859983"/>
        <c:axId val="1934928015"/>
      </c:barChart>
      <c:catAx>
        <c:axId val="1922859983"/>
        <c:scaling>
          <c:orientation val="minMax"/>
        </c:scaling>
        <c:delete val="1"/>
        <c:axPos val="l"/>
        <c:numFmt formatCode="General" sourceLinked="1"/>
        <c:majorTickMark val="none"/>
        <c:minorTickMark val="none"/>
        <c:tickLblPos val="nextTo"/>
        <c:crossAx val="1934928015"/>
        <c:crosses val="autoZero"/>
        <c:auto val="1"/>
        <c:lblAlgn val="ctr"/>
        <c:lblOffset val="100"/>
        <c:noMultiLvlLbl val="0"/>
      </c:catAx>
      <c:valAx>
        <c:axId val="1934928015"/>
        <c:scaling>
          <c:orientation val="minMax"/>
        </c:scaling>
        <c:delete val="1"/>
        <c:axPos val="b"/>
        <c:numFmt formatCode="0.00" sourceLinked="1"/>
        <c:majorTickMark val="none"/>
        <c:minorTickMark val="none"/>
        <c:tickLblPos val="nextTo"/>
        <c:crossAx val="1922859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635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Report!PivotTable4</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5.1516220839694087E-2"/>
          <c:w val="1"/>
          <c:h val="0.94848377916030591"/>
        </c:manualLayout>
      </c:layout>
      <c:areaChart>
        <c:grouping val="standard"/>
        <c:varyColors val="0"/>
        <c:ser>
          <c:idx val="0"/>
          <c:order val="0"/>
          <c:tx>
            <c:strRef>
              <c:f>'Pivot Report'!$E$5</c:f>
              <c:strCache>
                <c:ptCount val="1"/>
                <c:pt idx="0">
                  <c:v>Total</c:v>
                </c:pt>
              </c:strCache>
            </c:strRef>
          </c:tx>
          <c:spPr>
            <a:solidFill>
              <a:schemeClr val="accent1"/>
            </a:solidFill>
            <a:ln>
              <a:noFill/>
            </a:ln>
            <a:effectLst/>
          </c:spPr>
          <c:cat>
            <c:strRef>
              <c:f>'Pivot Report'!$D$6:$D$36</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Report'!$E$6:$E$36</c:f>
              <c:numCache>
                <c:formatCode>General</c:formatCode>
                <c:ptCount val="30"/>
                <c:pt idx="0">
                  <c:v>12</c:v>
                </c:pt>
                <c:pt idx="1">
                  <c:v>19</c:v>
                </c:pt>
                <c:pt idx="2">
                  <c:v>17</c:v>
                </c:pt>
                <c:pt idx="3">
                  <c:v>20</c:v>
                </c:pt>
                <c:pt idx="4">
                  <c:v>15</c:v>
                </c:pt>
                <c:pt idx="5">
                  <c:v>17</c:v>
                </c:pt>
                <c:pt idx="6">
                  <c:v>16</c:v>
                </c:pt>
                <c:pt idx="7">
                  <c:v>10</c:v>
                </c:pt>
                <c:pt idx="8">
                  <c:v>15</c:v>
                </c:pt>
                <c:pt idx="9">
                  <c:v>14</c:v>
                </c:pt>
                <c:pt idx="10">
                  <c:v>16</c:v>
                </c:pt>
                <c:pt idx="11">
                  <c:v>12</c:v>
                </c:pt>
                <c:pt idx="12">
                  <c:v>12</c:v>
                </c:pt>
                <c:pt idx="13">
                  <c:v>13</c:v>
                </c:pt>
                <c:pt idx="14">
                  <c:v>20</c:v>
                </c:pt>
                <c:pt idx="15">
                  <c:v>17</c:v>
                </c:pt>
                <c:pt idx="16">
                  <c:v>10</c:v>
                </c:pt>
                <c:pt idx="17">
                  <c:v>16</c:v>
                </c:pt>
                <c:pt idx="18">
                  <c:v>13</c:v>
                </c:pt>
                <c:pt idx="19">
                  <c:v>16</c:v>
                </c:pt>
                <c:pt idx="20">
                  <c:v>18</c:v>
                </c:pt>
                <c:pt idx="21">
                  <c:v>21</c:v>
                </c:pt>
                <c:pt idx="22">
                  <c:v>15</c:v>
                </c:pt>
                <c:pt idx="23">
                  <c:v>18</c:v>
                </c:pt>
                <c:pt idx="24">
                  <c:v>15</c:v>
                </c:pt>
                <c:pt idx="25">
                  <c:v>18</c:v>
                </c:pt>
                <c:pt idx="26">
                  <c:v>19</c:v>
                </c:pt>
                <c:pt idx="27">
                  <c:v>16</c:v>
                </c:pt>
                <c:pt idx="28">
                  <c:v>13</c:v>
                </c:pt>
                <c:pt idx="29">
                  <c:v>16</c:v>
                </c:pt>
              </c:numCache>
            </c:numRef>
          </c:val>
          <c:extLst>
            <c:ext xmlns:c16="http://schemas.microsoft.com/office/drawing/2014/chart" uri="{C3380CC4-5D6E-409C-BE32-E72D297353CC}">
              <c16:uniqueId val="{00000000-411B-464F-84B7-53B7DB197690}"/>
            </c:ext>
          </c:extLst>
        </c:ser>
        <c:dLbls>
          <c:showLegendKey val="0"/>
          <c:showVal val="0"/>
          <c:showCatName val="0"/>
          <c:showSerName val="0"/>
          <c:showPercent val="0"/>
          <c:showBubbleSize val="0"/>
        </c:dLbls>
        <c:axId val="1925416272"/>
        <c:axId val="21856880"/>
      </c:areaChart>
      <c:catAx>
        <c:axId val="1925416272"/>
        <c:scaling>
          <c:orientation val="minMax"/>
        </c:scaling>
        <c:delete val="1"/>
        <c:axPos val="b"/>
        <c:numFmt formatCode="General" sourceLinked="1"/>
        <c:majorTickMark val="out"/>
        <c:minorTickMark val="none"/>
        <c:tickLblPos val="nextTo"/>
        <c:crossAx val="21856880"/>
        <c:crosses val="autoZero"/>
        <c:auto val="1"/>
        <c:lblAlgn val="ctr"/>
        <c:lblOffset val="100"/>
        <c:noMultiLvlLbl val="0"/>
      </c:catAx>
      <c:valAx>
        <c:axId val="21856880"/>
        <c:scaling>
          <c:orientation val="minMax"/>
        </c:scaling>
        <c:delete val="1"/>
        <c:axPos val="l"/>
        <c:numFmt formatCode="General" sourceLinked="1"/>
        <c:majorTickMark val="none"/>
        <c:minorTickMark val="none"/>
        <c:tickLblPos val="nextTo"/>
        <c:crossAx val="192541627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Report!PivotTable5</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28799459109883"/>
          <c:w val="1"/>
          <c:h val="0.871200540890117"/>
        </c:manualLayout>
      </c:layout>
      <c:areaChart>
        <c:grouping val="standard"/>
        <c:varyColors val="0"/>
        <c:ser>
          <c:idx val="0"/>
          <c:order val="0"/>
          <c:tx>
            <c:strRef>
              <c:f>'Pivot Report'!$I$5</c:f>
              <c:strCache>
                <c:ptCount val="1"/>
                <c:pt idx="0">
                  <c:v>Total</c:v>
                </c:pt>
              </c:strCache>
            </c:strRef>
          </c:tx>
          <c:spPr>
            <a:solidFill>
              <a:schemeClr val="accent1"/>
            </a:solidFill>
            <a:ln>
              <a:noFill/>
            </a:ln>
            <a:effectLst/>
          </c:spPr>
          <c:cat>
            <c:strRef>
              <c:f>'Pivot Report'!$H$6:$H$36</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Report'!$I$6:$I$36</c:f>
              <c:numCache>
                <c:formatCode>0.00</c:formatCode>
                <c:ptCount val="30"/>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numCache>
            </c:numRef>
          </c:val>
          <c:extLst>
            <c:ext xmlns:c16="http://schemas.microsoft.com/office/drawing/2014/chart" uri="{C3380CC4-5D6E-409C-BE32-E72D297353CC}">
              <c16:uniqueId val="{00000000-9AA8-4A90-8041-AFD00C2F8C1B}"/>
            </c:ext>
          </c:extLst>
        </c:ser>
        <c:dLbls>
          <c:showLegendKey val="0"/>
          <c:showVal val="0"/>
          <c:showCatName val="0"/>
          <c:showSerName val="0"/>
          <c:showPercent val="0"/>
          <c:showBubbleSize val="0"/>
        </c:dLbls>
        <c:axId val="1794755568"/>
        <c:axId val="1166739440"/>
      </c:areaChart>
      <c:catAx>
        <c:axId val="1794755568"/>
        <c:scaling>
          <c:orientation val="minMax"/>
        </c:scaling>
        <c:delete val="1"/>
        <c:axPos val="b"/>
        <c:numFmt formatCode="General" sourceLinked="1"/>
        <c:majorTickMark val="out"/>
        <c:minorTickMark val="none"/>
        <c:tickLblPos val="nextTo"/>
        <c:crossAx val="1166739440"/>
        <c:crosses val="autoZero"/>
        <c:auto val="1"/>
        <c:lblAlgn val="ctr"/>
        <c:lblOffset val="100"/>
        <c:noMultiLvlLbl val="0"/>
      </c:catAx>
      <c:valAx>
        <c:axId val="1166739440"/>
        <c:scaling>
          <c:orientation val="minMax"/>
        </c:scaling>
        <c:delete val="1"/>
        <c:axPos val="l"/>
        <c:numFmt formatCode="0.00" sourceLinked="1"/>
        <c:majorTickMark val="none"/>
        <c:minorTickMark val="none"/>
        <c:tickLblPos val="nextTo"/>
        <c:crossAx val="179475556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Report!PivotTable6</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684533509221175E-2"/>
          <c:y val="2.7258055328763731E-2"/>
          <c:w val="0.98531546649077884"/>
          <c:h val="0.9727419446712362"/>
        </c:manualLayout>
      </c:layout>
      <c:areaChart>
        <c:grouping val="standard"/>
        <c:varyColors val="0"/>
        <c:ser>
          <c:idx val="0"/>
          <c:order val="0"/>
          <c:tx>
            <c:strRef>
              <c:f>'Pivot Report'!$M$5</c:f>
              <c:strCache>
                <c:ptCount val="1"/>
                <c:pt idx="0">
                  <c:v>Total</c:v>
                </c:pt>
              </c:strCache>
            </c:strRef>
          </c:tx>
          <c:spPr>
            <a:solidFill>
              <a:schemeClr val="accent1"/>
            </a:solidFill>
            <a:ln>
              <a:noFill/>
            </a:ln>
            <a:effectLst/>
          </c:spPr>
          <c:cat>
            <c:strRef>
              <c:f>'Pivot Report'!$L$6:$L$33</c:f>
              <c:strCache>
                <c:ptCount val="27"/>
                <c:pt idx="0">
                  <c:v>2-Apr</c:v>
                </c:pt>
                <c:pt idx="1">
                  <c:v>3-Apr</c:v>
                </c:pt>
                <c:pt idx="2">
                  <c:v>4-Apr</c:v>
                </c:pt>
                <c:pt idx="3">
                  <c:v>5-Apr</c:v>
                </c:pt>
                <c:pt idx="4">
                  <c:v>6-Apr</c:v>
                </c:pt>
                <c:pt idx="5">
                  <c:v>7-Apr</c:v>
                </c:pt>
                <c:pt idx="6">
                  <c:v>8-Apr</c:v>
                </c:pt>
                <c:pt idx="7">
                  <c:v>9-Apr</c:v>
                </c:pt>
                <c:pt idx="8">
                  <c:v>11-Apr</c:v>
                </c:pt>
                <c:pt idx="9">
                  <c:v>12-Apr</c:v>
                </c:pt>
                <c:pt idx="10">
                  <c:v>13-Apr</c:v>
                </c:pt>
                <c:pt idx="11">
                  <c:v>14-Apr</c:v>
                </c:pt>
                <c:pt idx="12">
                  <c:v>15-Apr</c:v>
                </c:pt>
                <c:pt idx="13">
                  <c:v>16-Apr</c:v>
                </c:pt>
                <c:pt idx="14">
                  <c:v>17-Apr</c:v>
                </c:pt>
                <c:pt idx="15">
                  <c:v>18-Apr</c:v>
                </c:pt>
                <c:pt idx="16">
                  <c:v>19-Apr</c:v>
                </c:pt>
                <c:pt idx="17">
                  <c:v>20-Apr</c:v>
                </c:pt>
                <c:pt idx="18">
                  <c:v>22-Apr</c:v>
                </c:pt>
                <c:pt idx="19">
                  <c:v>23-Apr</c:v>
                </c:pt>
                <c:pt idx="20">
                  <c:v>24-Apr</c:v>
                </c:pt>
                <c:pt idx="21">
                  <c:v>25-Apr</c:v>
                </c:pt>
                <c:pt idx="22">
                  <c:v>26-Apr</c:v>
                </c:pt>
                <c:pt idx="23">
                  <c:v>27-Apr</c:v>
                </c:pt>
                <c:pt idx="24">
                  <c:v>28-Apr</c:v>
                </c:pt>
                <c:pt idx="25">
                  <c:v>29-Apr</c:v>
                </c:pt>
                <c:pt idx="26">
                  <c:v>30-Apr</c:v>
                </c:pt>
              </c:strCache>
            </c:strRef>
          </c:cat>
          <c:val>
            <c:numRef>
              <c:f>'Pivot Report'!$M$6:$M$33</c:f>
              <c:numCache>
                <c:formatCode>0.00</c:formatCode>
                <c:ptCount val="27"/>
                <c:pt idx="0">
                  <c:v>4.5999999999999996</c:v>
                </c:pt>
                <c:pt idx="1">
                  <c:v>4.5999999999999996</c:v>
                </c:pt>
                <c:pt idx="2">
                  <c:v>5.666666666666667</c:v>
                </c:pt>
                <c:pt idx="3">
                  <c:v>3.4</c:v>
                </c:pt>
                <c:pt idx="4">
                  <c:v>4.333333333333333</c:v>
                </c:pt>
                <c:pt idx="5">
                  <c:v>4.4000000000000004</c:v>
                </c:pt>
                <c:pt idx="6">
                  <c:v>4.25</c:v>
                </c:pt>
                <c:pt idx="7">
                  <c:v>4.5999999999999996</c:v>
                </c:pt>
                <c:pt idx="8">
                  <c:v>2.3333333333333335</c:v>
                </c:pt>
                <c:pt idx="9">
                  <c:v>9</c:v>
                </c:pt>
                <c:pt idx="10">
                  <c:v>2.75</c:v>
                </c:pt>
                <c:pt idx="11">
                  <c:v>6.8888888888888893</c:v>
                </c:pt>
                <c:pt idx="12">
                  <c:v>5</c:v>
                </c:pt>
                <c:pt idx="13">
                  <c:v>4.166666666666667</c:v>
                </c:pt>
                <c:pt idx="14">
                  <c:v>2.5</c:v>
                </c:pt>
                <c:pt idx="15">
                  <c:v>6</c:v>
                </c:pt>
                <c:pt idx="16">
                  <c:v>3.8</c:v>
                </c:pt>
                <c:pt idx="17">
                  <c:v>3.6</c:v>
                </c:pt>
                <c:pt idx="18">
                  <c:v>5.8571428571428568</c:v>
                </c:pt>
                <c:pt idx="19">
                  <c:v>6.25</c:v>
                </c:pt>
                <c:pt idx="20">
                  <c:v>4.666666666666667</c:v>
                </c:pt>
                <c:pt idx="21">
                  <c:v>0</c:v>
                </c:pt>
                <c:pt idx="22">
                  <c:v>4.666666666666667</c:v>
                </c:pt>
                <c:pt idx="23">
                  <c:v>2.8</c:v>
                </c:pt>
                <c:pt idx="24">
                  <c:v>4.2</c:v>
                </c:pt>
                <c:pt idx="25">
                  <c:v>2.5</c:v>
                </c:pt>
                <c:pt idx="26">
                  <c:v>5</c:v>
                </c:pt>
              </c:numCache>
            </c:numRef>
          </c:val>
          <c:extLst>
            <c:ext xmlns:c16="http://schemas.microsoft.com/office/drawing/2014/chart" uri="{C3380CC4-5D6E-409C-BE32-E72D297353CC}">
              <c16:uniqueId val="{00000000-F019-4154-AE78-96DAFB433498}"/>
            </c:ext>
          </c:extLst>
        </c:ser>
        <c:dLbls>
          <c:showLegendKey val="0"/>
          <c:showVal val="0"/>
          <c:showCatName val="0"/>
          <c:showSerName val="0"/>
          <c:showPercent val="0"/>
          <c:showBubbleSize val="0"/>
        </c:dLbls>
        <c:axId val="1256858783"/>
        <c:axId val="1157117903"/>
      </c:areaChart>
      <c:catAx>
        <c:axId val="1256858783"/>
        <c:scaling>
          <c:orientation val="minMax"/>
        </c:scaling>
        <c:delete val="1"/>
        <c:axPos val="b"/>
        <c:numFmt formatCode="General" sourceLinked="1"/>
        <c:majorTickMark val="out"/>
        <c:minorTickMark val="none"/>
        <c:tickLblPos val="nextTo"/>
        <c:crossAx val="1157117903"/>
        <c:crosses val="autoZero"/>
        <c:auto val="1"/>
        <c:lblAlgn val="ctr"/>
        <c:lblOffset val="100"/>
        <c:noMultiLvlLbl val="0"/>
      </c:catAx>
      <c:valAx>
        <c:axId val="1157117903"/>
        <c:scaling>
          <c:orientation val="minMax"/>
        </c:scaling>
        <c:delete val="1"/>
        <c:axPos val="l"/>
        <c:numFmt formatCode="0.00" sourceLinked="1"/>
        <c:majorTickMark val="none"/>
        <c:minorTickMark val="none"/>
        <c:tickLblPos val="nextTo"/>
        <c:crossAx val="12568587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Report!PivotTable9</c:name>
    <c:fmtId val="6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586244302068212E-2"/>
          <c:y val="3.7466221398817605E-2"/>
          <c:w val="0.97962063354689766"/>
          <c:h val="0.68530537428853511"/>
        </c:manualLayout>
      </c:layout>
      <c:barChart>
        <c:barDir val="col"/>
        <c:grouping val="clustered"/>
        <c:varyColors val="0"/>
        <c:ser>
          <c:idx val="0"/>
          <c:order val="0"/>
          <c:tx>
            <c:strRef>
              <c:f>'Pivot Report'!$Q$17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Report'!$P$18:$P$26</c:f>
              <c:strCache>
                <c:ptCount val="8"/>
                <c:pt idx="0">
                  <c:v>0-9</c:v>
                </c:pt>
                <c:pt idx="1">
                  <c:v>10-19</c:v>
                </c:pt>
                <c:pt idx="2">
                  <c:v>20-29</c:v>
                </c:pt>
                <c:pt idx="3">
                  <c:v>30-39</c:v>
                </c:pt>
                <c:pt idx="4">
                  <c:v>40-49</c:v>
                </c:pt>
                <c:pt idx="5">
                  <c:v>50-59</c:v>
                </c:pt>
                <c:pt idx="6">
                  <c:v>60-69</c:v>
                </c:pt>
                <c:pt idx="7">
                  <c:v>70-79</c:v>
                </c:pt>
              </c:strCache>
            </c:strRef>
          </c:cat>
          <c:val>
            <c:numRef>
              <c:f>'Pivot Report'!$Q$18:$Q$26</c:f>
              <c:numCache>
                <c:formatCode>0</c:formatCode>
                <c:ptCount val="8"/>
                <c:pt idx="0">
                  <c:v>59</c:v>
                </c:pt>
                <c:pt idx="1">
                  <c:v>57</c:v>
                </c:pt>
                <c:pt idx="2">
                  <c:v>69</c:v>
                </c:pt>
                <c:pt idx="3">
                  <c:v>62</c:v>
                </c:pt>
                <c:pt idx="4">
                  <c:v>54</c:v>
                </c:pt>
                <c:pt idx="5">
                  <c:v>57</c:v>
                </c:pt>
                <c:pt idx="6">
                  <c:v>54</c:v>
                </c:pt>
                <c:pt idx="7">
                  <c:v>57</c:v>
                </c:pt>
              </c:numCache>
            </c:numRef>
          </c:val>
          <c:extLst>
            <c:ext xmlns:c16="http://schemas.microsoft.com/office/drawing/2014/chart" uri="{C3380CC4-5D6E-409C-BE32-E72D297353CC}">
              <c16:uniqueId val="{00000000-4A64-424A-8BCA-14A7BD9D6B5C}"/>
            </c:ext>
          </c:extLst>
        </c:ser>
        <c:dLbls>
          <c:showLegendKey val="0"/>
          <c:showVal val="0"/>
          <c:showCatName val="0"/>
          <c:showSerName val="0"/>
          <c:showPercent val="0"/>
          <c:showBubbleSize val="0"/>
        </c:dLbls>
        <c:gapWidth val="219"/>
        <c:overlap val="-27"/>
        <c:axId val="1940993103"/>
        <c:axId val="1157120783"/>
      </c:barChart>
      <c:catAx>
        <c:axId val="1940993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120783"/>
        <c:crosses val="autoZero"/>
        <c:auto val="1"/>
        <c:lblAlgn val="ctr"/>
        <c:lblOffset val="100"/>
        <c:noMultiLvlLbl val="0"/>
      </c:catAx>
      <c:valAx>
        <c:axId val="1157120783"/>
        <c:scaling>
          <c:orientation val="minMax"/>
        </c:scaling>
        <c:delete val="1"/>
        <c:axPos val="l"/>
        <c:numFmt formatCode="0" sourceLinked="1"/>
        <c:majorTickMark val="none"/>
        <c:minorTickMark val="none"/>
        <c:tickLblPos val="nextTo"/>
        <c:crossAx val="194099310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Report!PivotTable10</c:name>
    <c:fmtId val="75"/>
  </c:pivotSource>
  <c:chart>
    <c:autoTitleDeleted val="1"/>
    <c:pivotFmts>
      <c:pivotFmt>
        <c:idx val="0"/>
      </c:pivotFmt>
      <c:pivotFmt>
        <c:idx val="1"/>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19871913459827087"/>
          <c:y val="0.12068085909223922"/>
          <c:w val="0.64671944736617681"/>
          <c:h val="0.87594333810777925"/>
        </c:manualLayout>
      </c:layout>
      <c:pieChart>
        <c:varyColors val="1"/>
        <c:ser>
          <c:idx val="0"/>
          <c:order val="0"/>
          <c:tx>
            <c:strRef>
              <c:f>'Pivot Report'!$Q$30</c:f>
              <c:strCache>
                <c:ptCount val="1"/>
                <c:pt idx="0">
                  <c:v>Total</c:v>
                </c:pt>
              </c:strCache>
            </c:strRef>
          </c:tx>
          <c:spPr>
            <a:effectLst/>
          </c:spPr>
          <c:explosion val="1"/>
          <c:dPt>
            <c:idx val="0"/>
            <c:bubble3D val="0"/>
            <c:spPr>
              <a:solidFill>
                <a:schemeClr val="accent1"/>
              </a:solidFill>
              <a:ln>
                <a:noFill/>
              </a:ln>
              <a:effectLst/>
            </c:spPr>
            <c:extLst>
              <c:ext xmlns:c16="http://schemas.microsoft.com/office/drawing/2014/chart" uri="{C3380CC4-5D6E-409C-BE32-E72D297353CC}">
                <c16:uniqueId val="{00000001-14E7-42C8-BFD6-EC3D3D3E5C69}"/>
              </c:ext>
            </c:extLst>
          </c:dPt>
          <c:dPt>
            <c:idx val="1"/>
            <c:bubble3D val="0"/>
            <c:spPr>
              <a:solidFill>
                <a:schemeClr val="accent2"/>
              </a:solidFill>
              <a:ln>
                <a:noFill/>
              </a:ln>
              <a:effectLst/>
            </c:spPr>
            <c:extLst>
              <c:ext xmlns:c16="http://schemas.microsoft.com/office/drawing/2014/chart" uri="{C3380CC4-5D6E-409C-BE32-E72D297353CC}">
                <c16:uniqueId val="{00000003-14E7-42C8-BFD6-EC3D3D3E5C6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Report'!$P$31:$P$33</c:f>
              <c:strCache>
                <c:ptCount val="2"/>
                <c:pt idx="0">
                  <c:v>Delay</c:v>
                </c:pt>
                <c:pt idx="1">
                  <c:v>On-Time</c:v>
                </c:pt>
              </c:strCache>
            </c:strRef>
          </c:cat>
          <c:val>
            <c:numRef>
              <c:f>'Pivot Report'!$Q$31:$Q$33</c:f>
              <c:numCache>
                <c:formatCode>0</c:formatCode>
                <c:ptCount val="2"/>
                <c:pt idx="0">
                  <c:v>268</c:v>
                </c:pt>
                <c:pt idx="1">
                  <c:v>201</c:v>
                </c:pt>
              </c:numCache>
            </c:numRef>
          </c:val>
          <c:extLst>
            <c:ext xmlns:c16="http://schemas.microsoft.com/office/drawing/2014/chart" uri="{C3380CC4-5D6E-409C-BE32-E72D297353CC}">
              <c16:uniqueId val="{00000004-14E7-42C8-BFD6-EC3D3D3E5C6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2.6418232495175602E-2"/>
          <c:y val="0"/>
          <c:w val="0.95482161053028292"/>
          <c:h val="8.0078975364683697E-2"/>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Report!PivotTable11</c:name>
    <c:fmtId val="86"/>
  </c:pivotSource>
  <c:chart>
    <c:autoTitleDeleted val="1"/>
    <c:pivotFmts>
      <c:pivotFmt>
        <c:idx val="0"/>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16312979999626279"/>
          <c:y val="0.15454258770389334"/>
          <c:w val="0.60520595215108353"/>
          <c:h val="0.82565345962542913"/>
        </c:manualLayout>
      </c:layout>
      <c:doughnutChart>
        <c:varyColors val="1"/>
        <c:ser>
          <c:idx val="0"/>
          <c:order val="0"/>
          <c:tx>
            <c:strRef>
              <c:f>'Pivot Report'!$Q$36</c:f>
              <c:strCache>
                <c:ptCount val="1"/>
                <c:pt idx="0">
                  <c:v>Total</c:v>
                </c:pt>
              </c:strCache>
            </c:strRef>
          </c:tx>
          <c:spPr>
            <a:ln>
              <a:noFill/>
            </a:ln>
            <a:effectLst/>
          </c:spPr>
          <c:dPt>
            <c:idx val="0"/>
            <c:bubble3D val="0"/>
            <c:spPr>
              <a:solidFill>
                <a:schemeClr val="accent1"/>
              </a:solidFill>
              <a:ln>
                <a:noFill/>
              </a:ln>
              <a:effectLst/>
            </c:spPr>
            <c:extLst>
              <c:ext xmlns:c16="http://schemas.microsoft.com/office/drawing/2014/chart" uri="{C3380CC4-5D6E-409C-BE32-E72D297353CC}">
                <c16:uniqueId val="{00000001-9CA1-4493-A7BC-77C4D7E2C24E}"/>
              </c:ext>
            </c:extLst>
          </c:dPt>
          <c:dPt>
            <c:idx val="1"/>
            <c:bubble3D val="0"/>
            <c:spPr>
              <a:solidFill>
                <a:schemeClr val="accent2"/>
              </a:solidFill>
              <a:ln>
                <a:noFill/>
              </a:ln>
              <a:effectLst/>
            </c:spPr>
            <c:extLst>
              <c:ext xmlns:c16="http://schemas.microsoft.com/office/drawing/2014/chart" uri="{C3380CC4-5D6E-409C-BE32-E72D297353CC}">
                <c16:uniqueId val="{00000003-9CA1-4493-A7BC-77C4D7E2C24E}"/>
              </c:ext>
            </c:extLst>
          </c:dPt>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Report'!$P$37:$P$39</c:f>
              <c:strCache>
                <c:ptCount val="2"/>
                <c:pt idx="0">
                  <c:v>Female</c:v>
                </c:pt>
                <c:pt idx="1">
                  <c:v>Male</c:v>
                </c:pt>
              </c:strCache>
            </c:strRef>
          </c:cat>
          <c:val>
            <c:numRef>
              <c:f>'Pivot Report'!$Q$37:$Q$39</c:f>
              <c:numCache>
                <c:formatCode>0</c:formatCode>
                <c:ptCount val="2"/>
                <c:pt idx="0">
                  <c:v>241</c:v>
                </c:pt>
                <c:pt idx="1">
                  <c:v>228</c:v>
                </c:pt>
              </c:numCache>
            </c:numRef>
          </c:val>
          <c:extLst>
            <c:ext xmlns:c16="http://schemas.microsoft.com/office/drawing/2014/chart" uri="{C3380CC4-5D6E-409C-BE32-E72D297353CC}">
              <c16:uniqueId val="{00000004-9CA1-4493-A7BC-77C4D7E2C24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6.8387595206704566E-2"/>
          <c:y val="7.8630796150478571E-4"/>
          <c:w val="0.8232482106318002"/>
          <c:h val="8.552217060649748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Report!PivotTable12</c:name>
    <c:fmtId val="9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764115552827073"/>
          <c:y val="0"/>
          <c:w val="0.74501369686213326"/>
          <c:h val="1"/>
        </c:manualLayout>
      </c:layout>
      <c:barChart>
        <c:barDir val="bar"/>
        <c:grouping val="clustered"/>
        <c:varyColors val="0"/>
        <c:ser>
          <c:idx val="0"/>
          <c:order val="0"/>
          <c:tx>
            <c:strRef>
              <c:f>'Pivot Report'!$Q$43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Report'!$P$44:$P$52</c:f>
              <c:strCache>
                <c:ptCount val="8"/>
                <c:pt idx="0">
                  <c:v>Renal</c:v>
                </c:pt>
                <c:pt idx="1">
                  <c:v>Gastroenterology</c:v>
                </c:pt>
                <c:pt idx="2">
                  <c:v>Neurology</c:v>
                </c:pt>
                <c:pt idx="3">
                  <c:v>Cardiology</c:v>
                </c:pt>
                <c:pt idx="4">
                  <c:v>Physiotherapy</c:v>
                </c:pt>
                <c:pt idx="5">
                  <c:v>Orthopedics</c:v>
                </c:pt>
                <c:pt idx="6">
                  <c:v>General Practice</c:v>
                </c:pt>
                <c:pt idx="7">
                  <c:v>None</c:v>
                </c:pt>
              </c:strCache>
            </c:strRef>
          </c:cat>
          <c:val>
            <c:numRef>
              <c:f>'Pivot Report'!$Q$44:$Q$52</c:f>
              <c:numCache>
                <c:formatCode>0</c:formatCode>
                <c:ptCount val="8"/>
                <c:pt idx="0">
                  <c:v>3</c:v>
                </c:pt>
                <c:pt idx="1">
                  <c:v>8</c:v>
                </c:pt>
                <c:pt idx="2">
                  <c:v>10</c:v>
                </c:pt>
                <c:pt idx="3">
                  <c:v>13</c:v>
                </c:pt>
                <c:pt idx="4">
                  <c:v>15</c:v>
                </c:pt>
                <c:pt idx="5">
                  <c:v>44</c:v>
                </c:pt>
                <c:pt idx="6">
                  <c:v>92</c:v>
                </c:pt>
                <c:pt idx="7">
                  <c:v>284</c:v>
                </c:pt>
              </c:numCache>
            </c:numRef>
          </c:val>
          <c:extLst>
            <c:ext xmlns:c16="http://schemas.microsoft.com/office/drawing/2014/chart" uri="{C3380CC4-5D6E-409C-BE32-E72D297353CC}">
              <c16:uniqueId val="{00000000-D3CC-4370-AA35-6016F83A492D}"/>
            </c:ext>
          </c:extLst>
        </c:ser>
        <c:dLbls>
          <c:showLegendKey val="0"/>
          <c:showVal val="0"/>
          <c:showCatName val="0"/>
          <c:showSerName val="0"/>
          <c:showPercent val="0"/>
          <c:showBubbleSize val="0"/>
        </c:dLbls>
        <c:gapWidth val="50"/>
        <c:axId val="2008590751"/>
        <c:axId val="1934925135"/>
      </c:barChart>
      <c:catAx>
        <c:axId val="2008590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934925135"/>
        <c:crosses val="autoZero"/>
        <c:auto val="1"/>
        <c:lblAlgn val="ctr"/>
        <c:lblOffset val="100"/>
        <c:noMultiLvlLbl val="0"/>
      </c:catAx>
      <c:valAx>
        <c:axId val="1934925135"/>
        <c:scaling>
          <c:orientation val="minMax"/>
        </c:scaling>
        <c:delete val="1"/>
        <c:axPos val="b"/>
        <c:numFmt formatCode="0" sourceLinked="1"/>
        <c:majorTickMark val="none"/>
        <c:minorTickMark val="none"/>
        <c:tickLblPos val="nextTo"/>
        <c:crossAx val="2008590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[Book1.xlsx]Pivot Report!PivotTable4</c:name>
    <c:fmtId val="2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791627327142899E-2"/>
          <c:y val="1.432880475432799E-2"/>
          <c:w val="0.96013303769401326"/>
          <c:h val="0.84997746820109021"/>
        </c:manualLayout>
      </c:layout>
      <c:areaChart>
        <c:grouping val="standard"/>
        <c:varyColors val="0"/>
        <c:ser>
          <c:idx val="0"/>
          <c:order val="0"/>
          <c:tx>
            <c:strRef>
              <c:f>'Pivot Report'!$E$5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Report'!$D$6:$D$36</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Report'!$E$6:$E$36</c:f>
              <c:numCache>
                <c:formatCode>General</c:formatCode>
                <c:ptCount val="30"/>
                <c:pt idx="0">
                  <c:v>12</c:v>
                </c:pt>
                <c:pt idx="1">
                  <c:v>19</c:v>
                </c:pt>
                <c:pt idx="2">
                  <c:v>17</c:v>
                </c:pt>
                <c:pt idx="3">
                  <c:v>20</c:v>
                </c:pt>
                <c:pt idx="4">
                  <c:v>15</c:v>
                </c:pt>
                <c:pt idx="5">
                  <c:v>17</c:v>
                </c:pt>
                <c:pt idx="6">
                  <c:v>16</c:v>
                </c:pt>
                <c:pt idx="7">
                  <c:v>10</c:v>
                </c:pt>
                <c:pt idx="8">
                  <c:v>15</c:v>
                </c:pt>
                <c:pt idx="9">
                  <c:v>14</c:v>
                </c:pt>
                <c:pt idx="10">
                  <c:v>16</c:v>
                </c:pt>
                <c:pt idx="11">
                  <c:v>12</c:v>
                </c:pt>
                <c:pt idx="12">
                  <c:v>12</c:v>
                </c:pt>
                <c:pt idx="13">
                  <c:v>13</c:v>
                </c:pt>
                <c:pt idx="14">
                  <c:v>20</c:v>
                </c:pt>
                <c:pt idx="15">
                  <c:v>17</c:v>
                </c:pt>
                <c:pt idx="16">
                  <c:v>10</c:v>
                </c:pt>
                <c:pt idx="17">
                  <c:v>16</c:v>
                </c:pt>
                <c:pt idx="18">
                  <c:v>13</c:v>
                </c:pt>
                <c:pt idx="19">
                  <c:v>16</c:v>
                </c:pt>
                <c:pt idx="20">
                  <c:v>18</c:v>
                </c:pt>
                <c:pt idx="21">
                  <c:v>21</c:v>
                </c:pt>
                <c:pt idx="22">
                  <c:v>15</c:v>
                </c:pt>
                <c:pt idx="23">
                  <c:v>18</c:v>
                </c:pt>
                <c:pt idx="24">
                  <c:v>15</c:v>
                </c:pt>
                <c:pt idx="25">
                  <c:v>18</c:v>
                </c:pt>
                <c:pt idx="26">
                  <c:v>19</c:v>
                </c:pt>
                <c:pt idx="27">
                  <c:v>16</c:v>
                </c:pt>
                <c:pt idx="28">
                  <c:v>13</c:v>
                </c:pt>
                <c:pt idx="29">
                  <c:v>16</c:v>
                </c:pt>
              </c:numCache>
            </c:numRef>
          </c:val>
          <c:extLst>
            <c:ext xmlns:c16="http://schemas.microsoft.com/office/drawing/2014/chart" uri="{C3380CC4-5D6E-409C-BE32-E72D297353CC}">
              <c16:uniqueId val="{00000000-23BD-475B-8551-FCC83CFBC31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925416272"/>
        <c:axId val="21856880"/>
      </c:areaChart>
      <c:dateAx>
        <c:axId val="192541627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3000000" spcFirstLastPara="1" vertOverflow="ellipsis" wrap="square" anchor="ctr" anchorCtr="1"/>
          <a:lstStyle/>
          <a:p>
            <a:pPr>
              <a:defRPr sz="900" b="0" i="0" u="none" strike="noStrike" kern="1200" baseline="0">
                <a:solidFill>
                  <a:schemeClr val="lt1"/>
                </a:solidFill>
                <a:latin typeface="+mn-lt"/>
                <a:ea typeface="+mn-ea"/>
                <a:cs typeface="+mn-cs"/>
              </a:defRPr>
            </a:pPr>
            <a:endParaRPr lang="en-US"/>
          </a:p>
        </c:txPr>
        <c:crossAx val="21856880"/>
        <c:crosses val="autoZero"/>
        <c:auto val="0"/>
        <c:lblOffset val="100"/>
        <c:baseTimeUnit val="days"/>
      </c:dateAx>
      <c:valAx>
        <c:axId val="21856880"/>
        <c:scaling>
          <c:orientation val="minMax"/>
        </c:scaling>
        <c:delete val="1"/>
        <c:axPos val="l"/>
        <c:numFmt formatCode="General" sourceLinked="1"/>
        <c:majorTickMark val="out"/>
        <c:minorTickMark val="none"/>
        <c:tickLblPos val="nextTo"/>
        <c:crossAx val="192541627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Report!PivotTable5</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336129017867103E-2"/>
          <c:y val="4.2692939244663386E-2"/>
          <c:w val="0.95533126631125787"/>
          <c:h val="0.84074007990380517"/>
        </c:manualLayout>
      </c:layout>
      <c:areaChart>
        <c:grouping val="standard"/>
        <c:varyColors val="0"/>
        <c:ser>
          <c:idx val="0"/>
          <c:order val="0"/>
          <c:tx>
            <c:strRef>
              <c:f>'Pivot Report'!$I$5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Report'!$H$6:$H$36</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Report'!$I$6:$I$36</c:f>
              <c:numCache>
                <c:formatCode>0.00</c:formatCode>
                <c:ptCount val="30"/>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numCache>
            </c:numRef>
          </c:val>
          <c:extLst>
            <c:ext xmlns:c16="http://schemas.microsoft.com/office/drawing/2014/chart" uri="{C3380CC4-5D6E-409C-BE32-E72D297353CC}">
              <c16:uniqueId val="{00000000-A213-4A66-ABE6-49FFE16EA45E}"/>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794755568"/>
        <c:axId val="1166739440"/>
      </c:areaChart>
      <c:catAx>
        <c:axId val="179475556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3000000" spcFirstLastPara="1" vertOverflow="ellipsis" wrap="square" anchor="ctr" anchorCtr="1"/>
          <a:lstStyle/>
          <a:p>
            <a:pPr>
              <a:defRPr sz="900" b="0" i="0" u="none" strike="noStrike" kern="1200" baseline="0">
                <a:solidFill>
                  <a:schemeClr val="lt1"/>
                </a:solidFill>
                <a:latin typeface="+mn-lt"/>
                <a:ea typeface="+mn-ea"/>
                <a:cs typeface="+mn-cs"/>
              </a:defRPr>
            </a:pPr>
            <a:endParaRPr lang="en-US"/>
          </a:p>
        </c:txPr>
        <c:crossAx val="1166739440"/>
        <c:crosses val="autoZero"/>
        <c:auto val="1"/>
        <c:lblAlgn val="ctr"/>
        <c:lblOffset val="100"/>
        <c:noMultiLvlLbl val="0"/>
      </c:catAx>
      <c:valAx>
        <c:axId val="1166739440"/>
        <c:scaling>
          <c:orientation val="minMax"/>
        </c:scaling>
        <c:delete val="1"/>
        <c:axPos val="l"/>
        <c:numFmt formatCode="0.00" sourceLinked="1"/>
        <c:majorTickMark val="out"/>
        <c:minorTickMark val="none"/>
        <c:tickLblPos val="nextTo"/>
        <c:crossAx val="179475556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Report!PivotTable6</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801610492739401E-2"/>
          <c:y val="5.9640309667173957E-2"/>
          <c:w val="0.93535134170551626"/>
          <c:h val="0.8013784159333025"/>
        </c:manualLayout>
      </c:layout>
      <c:areaChart>
        <c:grouping val="standard"/>
        <c:varyColors val="0"/>
        <c:ser>
          <c:idx val="0"/>
          <c:order val="0"/>
          <c:tx>
            <c:strRef>
              <c:f>'Pivot Report'!$M$5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Report'!$L$6:$L$33</c:f>
              <c:strCache>
                <c:ptCount val="27"/>
                <c:pt idx="0">
                  <c:v>2-Apr</c:v>
                </c:pt>
                <c:pt idx="1">
                  <c:v>3-Apr</c:v>
                </c:pt>
                <c:pt idx="2">
                  <c:v>4-Apr</c:v>
                </c:pt>
                <c:pt idx="3">
                  <c:v>5-Apr</c:v>
                </c:pt>
                <c:pt idx="4">
                  <c:v>6-Apr</c:v>
                </c:pt>
                <c:pt idx="5">
                  <c:v>7-Apr</c:v>
                </c:pt>
                <c:pt idx="6">
                  <c:v>8-Apr</c:v>
                </c:pt>
                <c:pt idx="7">
                  <c:v>9-Apr</c:v>
                </c:pt>
                <c:pt idx="8">
                  <c:v>11-Apr</c:v>
                </c:pt>
                <c:pt idx="9">
                  <c:v>12-Apr</c:v>
                </c:pt>
                <c:pt idx="10">
                  <c:v>13-Apr</c:v>
                </c:pt>
                <c:pt idx="11">
                  <c:v>14-Apr</c:v>
                </c:pt>
                <c:pt idx="12">
                  <c:v>15-Apr</c:v>
                </c:pt>
                <c:pt idx="13">
                  <c:v>16-Apr</c:v>
                </c:pt>
                <c:pt idx="14">
                  <c:v>17-Apr</c:v>
                </c:pt>
                <c:pt idx="15">
                  <c:v>18-Apr</c:v>
                </c:pt>
                <c:pt idx="16">
                  <c:v>19-Apr</c:v>
                </c:pt>
                <c:pt idx="17">
                  <c:v>20-Apr</c:v>
                </c:pt>
                <c:pt idx="18">
                  <c:v>22-Apr</c:v>
                </c:pt>
                <c:pt idx="19">
                  <c:v>23-Apr</c:v>
                </c:pt>
                <c:pt idx="20">
                  <c:v>24-Apr</c:v>
                </c:pt>
                <c:pt idx="21">
                  <c:v>25-Apr</c:v>
                </c:pt>
                <c:pt idx="22">
                  <c:v>26-Apr</c:v>
                </c:pt>
                <c:pt idx="23">
                  <c:v>27-Apr</c:v>
                </c:pt>
                <c:pt idx="24">
                  <c:v>28-Apr</c:v>
                </c:pt>
                <c:pt idx="25">
                  <c:v>29-Apr</c:v>
                </c:pt>
                <c:pt idx="26">
                  <c:v>30-Apr</c:v>
                </c:pt>
              </c:strCache>
            </c:strRef>
          </c:cat>
          <c:val>
            <c:numRef>
              <c:f>'Pivot Report'!$M$6:$M$33</c:f>
              <c:numCache>
                <c:formatCode>0.00</c:formatCode>
                <c:ptCount val="27"/>
                <c:pt idx="0">
                  <c:v>4.5999999999999996</c:v>
                </c:pt>
                <c:pt idx="1">
                  <c:v>4.5999999999999996</c:v>
                </c:pt>
                <c:pt idx="2">
                  <c:v>5.666666666666667</c:v>
                </c:pt>
                <c:pt idx="3">
                  <c:v>3.4</c:v>
                </c:pt>
                <c:pt idx="4">
                  <c:v>4.333333333333333</c:v>
                </c:pt>
                <c:pt idx="5">
                  <c:v>4.4000000000000004</c:v>
                </c:pt>
                <c:pt idx="6">
                  <c:v>4.25</c:v>
                </c:pt>
                <c:pt idx="7">
                  <c:v>4.5999999999999996</c:v>
                </c:pt>
                <c:pt idx="8">
                  <c:v>2.3333333333333335</c:v>
                </c:pt>
                <c:pt idx="9">
                  <c:v>9</c:v>
                </c:pt>
                <c:pt idx="10">
                  <c:v>2.75</c:v>
                </c:pt>
                <c:pt idx="11">
                  <c:v>6.8888888888888893</c:v>
                </c:pt>
                <c:pt idx="12">
                  <c:v>5</c:v>
                </c:pt>
                <c:pt idx="13">
                  <c:v>4.166666666666667</c:v>
                </c:pt>
                <c:pt idx="14">
                  <c:v>2.5</c:v>
                </c:pt>
                <c:pt idx="15">
                  <c:v>6</c:v>
                </c:pt>
                <c:pt idx="16">
                  <c:v>3.8</c:v>
                </c:pt>
                <c:pt idx="17">
                  <c:v>3.6</c:v>
                </c:pt>
                <c:pt idx="18">
                  <c:v>5.8571428571428568</c:v>
                </c:pt>
                <c:pt idx="19">
                  <c:v>6.25</c:v>
                </c:pt>
                <c:pt idx="20">
                  <c:v>4.666666666666667</c:v>
                </c:pt>
                <c:pt idx="21">
                  <c:v>0</c:v>
                </c:pt>
                <c:pt idx="22">
                  <c:v>4.666666666666667</c:v>
                </c:pt>
                <c:pt idx="23">
                  <c:v>2.8</c:v>
                </c:pt>
                <c:pt idx="24">
                  <c:v>4.2</c:v>
                </c:pt>
                <c:pt idx="25">
                  <c:v>2.5</c:v>
                </c:pt>
                <c:pt idx="26">
                  <c:v>5</c:v>
                </c:pt>
              </c:numCache>
            </c:numRef>
          </c:val>
          <c:extLst>
            <c:ext xmlns:c16="http://schemas.microsoft.com/office/drawing/2014/chart" uri="{C3380CC4-5D6E-409C-BE32-E72D297353CC}">
              <c16:uniqueId val="{00000000-FB0C-483C-962E-37D9ABE54978}"/>
            </c:ext>
          </c:extLst>
        </c:ser>
        <c:dLbls>
          <c:showLegendKey val="0"/>
          <c:showVal val="0"/>
          <c:showCatName val="0"/>
          <c:showSerName val="0"/>
          <c:showPercent val="0"/>
          <c:showBubbleSize val="0"/>
        </c:dLbls>
        <c:axId val="1256858783"/>
        <c:axId val="1157117903"/>
      </c:areaChart>
      <c:catAx>
        <c:axId val="1256858783"/>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3000000" spcFirstLastPara="1" vertOverflow="ellipsis" wrap="square" anchor="ctr" anchorCtr="1"/>
          <a:lstStyle/>
          <a:p>
            <a:pPr>
              <a:defRPr sz="900" b="0" i="0" u="none" strike="noStrike" kern="1200" baseline="0">
                <a:ln>
                  <a:noFill/>
                </a:ln>
                <a:solidFill>
                  <a:schemeClr val="lt1">
                    <a:lumMod val="85000"/>
                  </a:schemeClr>
                </a:solidFill>
                <a:latin typeface="+mn-lt"/>
                <a:ea typeface="+mn-ea"/>
                <a:cs typeface="+mn-cs"/>
              </a:defRPr>
            </a:pPr>
            <a:endParaRPr lang="en-US"/>
          </a:p>
        </c:txPr>
        <c:crossAx val="1157117903"/>
        <c:crosses val="autoZero"/>
        <c:auto val="1"/>
        <c:lblAlgn val="ctr"/>
        <c:lblOffset val="100"/>
        <c:noMultiLvlLbl val="0"/>
      </c:catAx>
      <c:valAx>
        <c:axId val="115711790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68587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Average Wait-Time'!A1"/><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chart" Target="../charts/chart2.xml"/><Relationship Id="rId12" Type="http://schemas.openxmlformats.org/officeDocument/2006/relationships/image" Target="../media/image6.emf"/><Relationship Id="rId2" Type="http://schemas.openxmlformats.org/officeDocument/2006/relationships/image" Target="../media/image2.svg"/><Relationship Id="rId16"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hyperlink" Target="#'No. of Admissions'!A1"/><Relationship Id="rId11"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chart" Target="../charts/chart7.xml"/><Relationship Id="rId10" Type="http://schemas.openxmlformats.org/officeDocument/2006/relationships/hyperlink" Target="#'Satisfaction Score'!A1"/><Relationship Id="rId4" Type="http://schemas.openxmlformats.org/officeDocument/2006/relationships/image" Target="../media/image4.svg"/><Relationship Id="rId9" Type="http://schemas.openxmlformats.org/officeDocument/2006/relationships/chart" Target="../charts/chart3.xml"/><Relationship Id="rId1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9.svg"/></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image" Target="../media/image9.svg"/><Relationship Id="rId2" Type="http://schemas.openxmlformats.org/officeDocument/2006/relationships/image" Target="../media/image8.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image" Target="../media/image9.svg"/><Relationship Id="rId2" Type="http://schemas.openxmlformats.org/officeDocument/2006/relationships/image" Target="../media/image8.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18</xdr:col>
      <xdr:colOff>545</xdr:colOff>
      <xdr:row>10</xdr:row>
      <xdr:rowOff>183931</xdr:rowOff>
    </xdr:from>
    <xdr:to>
      <xdr:col>19</xdr:col>
      <xdr:colOff>3342</xdr:colOff>
      <xdr:row>12</xdr:row>
      <xdr:rowOff>183930</xdr:rowOff>
    </xdr:to>
    <xdr:graphicFrame macro="">
      <xdr:nvGraphicFramePr>
        <xdr:cNvPr id="4" name="Chart 3">
          <a:extLst>
            <a:ext uri="{FF2B5EF4-FFF2-40B4-BE49-F238E27FC236}">
              <a16:creationId xmlns:a16="http://schemas.microsoft.com/office/drawing/2014/main" id="{0C325ABE-A7BA-4946-9DC3-5F645D058B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1218223</xdr:colOff>
      <xdr:row>51</xdr:row>
      <xdr:rowOff>115766</xdr:rowOff>
    </xdr:from>
    <xdr:to>
      <xdr:col>14</xdr:col>
      <xdr:colOff>508000</xdr:colOff>
      <xdr:row>54</xdr:row>
      <xdr:rowOff>29307</xdr:rowOff>
    </xdr:to>
    <mc:AlternateContent xmlns:mc="http://schemas.openxmlformats.org/markup-compatibility/2006">
      <mc:Choice xmlns:a14="http://schemas.microsoft.com/office/drawing/2010/main" Requires="a14">
        <xdr:graphicFrame macro="">
          <xdr:nvGraphicFramePr>
            <xdr:cNvPr id="2" name="Date (Year)">
              <a:extLst>
                <a:ext uri="{FF2B5EF4-FFF2-40B4-BE49-F238E27FC236}">
                  <a16:creationId xmlns:a16="http://schemas.microsoft.com/office/drawing/2014/main" id="{8BFF4581-1A47-4BA8-EC50-8370224A13EC}"/>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13893800" y="9582151"/>
              <a:ext cx="1693008" cy="4703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93960</xdr:colOff>
      <xdr:row>0</xdr:row>
      <xdr:rowOff>63802</xdr:rowOff>
    </xdr:from>
    <xdr:to>
      <xdr:col>5</xdr:col>
      <xdr:colOff>362472</xdr:colOff>
      <xdr:row>2</xdr:row>
      <xdr:rowOff>161169</xdr:rowOff>
    </xdr:to>
    <xdr:sp macro="" textlink="">
      <xdr:nvSpPr>
        <xdr:cNvPr id="2" name="Rectangle: Rounded Corners 1">
          <a:extLst>
            <a:ext uri="{FF2B5EF4-FFF2-40B4-BE49-F238E27FC236}">
              <a16:creationId xmlns:a16="http://schemas.microsoft.com/office/drawing/2014/main" id="{EB29853B-D2FF-9E72-BB05-97A6C37EEA93}"/>
            </a:ext>
          </a:extLst>
        </xdr:cNvPr>
        <xdr:cNvSpPr/>
      </xdr:nvSpPr>
      <xdr:spPr>
        <a:xfrm>
          <a:off x="93960" y="63802"/>
          <a:ext cx="3310295" cy="461493"/>
        </a:xfrm>
        <a:prstGeom prst="roundRect">
          <a:avLst>
            <a:gd name="adj" fmla="val 14598"/>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noFill/>
          </a:endParaRPr>
        </a:p>
      </xdr:txBody>
    </xdr:sp>
    <xdr:clientData/>
  </xdr:twoCellAnchor>
  <xdr:twoCellAnchor editAs="absolute">
    <xdr:from>
      <xdr:col>5</xdr:col>
      <xdr:colOff>411430</xdr:colOff>
      <xdr:row>0</xdr:row>
      <xdr:rowOff>47779</xdr:rowOff>
    </xdr:from>
    <xdr:to>
      <xdr:col>7</xdr:col>
      <xdr:colOff>335834</xdr:colOff>
      <xdr:row>2</xdr:row>
      <xdr:rowOff>163286</xdr:rowOff>
    </xdr:to>
    <xdr:sp macro="" textlink="">
      <xdr:nvSpPr>
        <xdr:cNvPr id="3" name="Rectangle: Rounded Corners 2">
          <a:extLst>
            <a:ext uri="{FF2B5EF4-FFF2-40B4-BE49-F238E27FC236}">
              <a16:creationId xmlns:a16="http://schemas.microsoft.com/office/drawing/2014/main" id="{E6BE9536-04BC-D397-2A66-B9F56B7335DD}"/>
            </a:ext>
          </a:extLst>
        </xdr:cNvPr>
        <xdr:cNvSpPr/>
      </xdr:nvSpPr>
      <xdr:spPr>
        <a:xfrm>
          <a:off x="3453213" y="47779"/>
          <a:ext cx="1141118" cy="479633"/>
        </a:xfrm>
        <a:prstGeom prst="roundRect">
          <a:avLst>
            <a:gd name="adj" fmla="val 14598"/>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noFill/>
          </a:endParaRPr>
        </a:p>
      </xdr:txBody>
    </xdr:sp>
    <xdr:clientData/>
  </xdr:twoCellAnchor>
  <xdr:twoCellAnchor editAs="absolute">
    <xdr:from>
      <xdr:col>0</xdr:col>
      <xdr:colOff>98799</xdr:colOff>
      <xdr:row>3</xdr:row>
      <xdr:rowOff>29935</xdr:rowOff>
    </xdr:from>
    <xdr:to>
      <xdr:col>1</xdr:col>
      <xdr:colOff>158369</xdr:colOff>
      <xdr:row>15</xdr:row>
      <xdr:rowOff>131535</xdr:rowOff>
    </xdr:to>
    <xdr:sp macro="" textlink="">
      <xdr:nvSpPr>
        <xdr:cNvPr id="4" name="Rectangle: Rounded Corners 3">
          <a:extLst>
            <a:ext uri="{FF2B5EF4-FFF2-40B4-BE49-F238E27FC236}">
              <a16:creationId xmlns:a16="http://schemas.microsoft.com/office/drawing/2014/main" id="{E3D2421D-E9A4-6C48-633C-1E826E10DEDC}"/>
            </a:ext>
          </a:extLst>
        </xdr:cNvPr>
        <xdr:cNvSpPr/>
      </xdr:nvSpPr>
      <xdr:spPr>
        <a:xfrm>
          <a:off x="98799" y="576124"/>
          <a:ext cx="667927" cy="2286355"/>
        </a:xfrm>
        <a:prstGeom prst="roundRect">
          <a:avLst>
            <a:gd name="adj" fmla="val 9311"/>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noFill/>
          </a:endParaRPr>
        </a:p>
      </xdr:txBody>
    </xdr:sp>
    <xdr:clientData/>
  </xdr:twoCellAnchor>
  <xdr:twoCellAnchor editAs="absolute">
    <xdr:from>
      <xdr:col>1</xdr:col>
      <xdr:colOff>208856</xdr:colOff>
      <xdr:row>9</xdr:row>
      <xdr:rowOff>13605</xdr:rowOff>
    </xdr:from>
    <xdr:to>
      <xdr:col>7</xdr:col>
      <xdr:colOff>357627</xdr:colOff>
      <xdr:row>15</xdr:row>
      <xdr:rowOff>104925</xdr:rowOff>
    </xdr:to>
    <xdr:sp macro="" textlink="">
      <xdr:nvSpPr>
        <xdr:cNvPr id="7" name="Rectangle: Rounded Corners 6">
          <a:extLst>
            <a:ext uri="{FF2B5EF4-FFF2-40B4-BE49-F238E27FC236}">
              <a16:creationId xmlns:a16="http://schemas.microsoft.com/office/drawing/2014/main" id="{C57CEBC1-14BD-C9DD-A1F9-E5FF36DBEFD0}"/>
            </a:ext>
          </a:extLst>
        </xdr:cNvPr>
        <xdr:cNvSpPr/>
      </xdr:nvSpPr>
      <xdr:spPr>
        <a:xfrm>
          <a:off x="819433" y="1684143"/>
          <a:ext cx="3812232" cy="1205013"/>
        </a:xfrm>
        <a:prstGeom prst="roundRect">
          <a:avLst>
            <a:gd name="adj" fmla="val 708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noFill/>
          </a:endParaRPr>
        </a:p>
      </xdr:txBody>
    </xdr:sp>
    <xdr:clientData/>
  </xdr:twoCellAnchor>
  <xdr:twoCellAnchor editAs="absolute">
    <xdr:from>
      <xdr:col>7</xdr:col>
      <xdr:colOff>412748</xdr:colOff>
      <xdr:row>0</xdr:row>
      <xdr:rowOff>54523</xdr:rowOff>
    </xdr:from>
    <xdr:to>
      <xdr:col>10</xdr:col>
      <xdr:colOff>48846</xdr:colOff>
      <xdr:row>6</xdr:row>
      <xdr:rowOff>113487</xdr:rowOff>
    </xdr:to>
    <xdr:sp macro="" textlink="">
      <xdr:nvSpPr>
        <xdr:cNvPr id="8" name="Rectangle: Rounded Corners 7">
          <a:extLst>
            <a:ext uri="{FF2B5EF4-FFF2-40B4-BE49-F238E27FC236}">
              <a16:creationId xmlns:a16="http://schemas.microsoft.com/office/drawing/2014/main" id="{57322EE1-584C-2ABF-6B74-A1C033305277}"/>
            </a:ext>
          </a:extLst>
        </xdr:cNvPr>
        <xdr:cNvSpPr/>
      </xdr:nvSpPr>
      <xdr:spPr>
        <a:xfrm>
          <a:off x="4671245" y="54523"/>
          <a:ext cx="1461167" cy="1151342"/>
        </a:xfrm>
        <a:prstGeom prst="roundRect">
          <a:avLst>
            <a:gd name="adj" fmla="val 1073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noFill/>
          </a:endParaRPr>
        </a:p>
      </xdr:txBody>
    </xdr:sp>
    <xdr:clientData/>
  </xdr:twoCellAnchor>
  <xdr:twoCellAnchor>
    <xdr:from>
      <xdr:col>3</xdr:col>
      <xdr:colOff>253837</xdr:colOff>
      <xdr:row>3</xdr:row>
      <xdr:rowOff>25683</xdr:rowOff>
    </xdr:from>
    <xdr:to>
      <xdr:col>5</xdr:col>
      <xdr:colOff>258535</xdr:colOff>
      <xdr:row>6</xdr:row>
      <xdr:rowOff>31749</xdr:rowOff>
    </xdr:to>
    <xdr:sp macro="" textlink="">
      <xdr:nvSpPr>
        <xdr:cNvPr id="5" name="Rectangle: Rounded Corners 4">
          <a:extLst>
            <a:ext uri="{FF2B5EF4-FFF2-40B4-BE49-F238E27FC236}">
              <a16:creationId xmlns:a16="http://schemas.microsoft.com/office/drawing/2014/main" id="{B988D170-4721-56BD-8671-92011FCEFEFF}"/>
            </a:ext>
          </a:extLst>
        </xdr:cNvPr>
        <xdr:cNvSpPr/>
      </xdr:nvSpPr>
      <xdr:spPr>
        <a:xfrm>
          <a:off x="2077194" y="583576"/>
          <a:ext cx="1220270" cy="563959"/>
        </a:xfrm>
        <a:prstGeom prst="roundRect">
          <a:avLst>
            <a:gd name="adj" fmla="val 655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noFill/>
          </a:endParaRPr>
        </a:p>
      </xdr:txBody>
    </xdr:sp>
    <xdr:clientData/>
  </xdr:twoCellAnchor>
  <xdr:twoCellAnchor>
    <xdr:from>
      <xdr:col>1</xdr:col>
      <xdr:colOff>205828</xdr:colOff>
      <xdr:row>3</xdr:row>
      <xdr:rowOff>33910</xdr:rowOff>
    </xdr:from>
    <xdr:to>
      <xdr:col>3</xdr:col>
      <xdr:colOff>218966</xdr:colOff>
      <xdr:row>6</xdr:row>
      <xdr:rowOff>36587</xdr:rowOff>
    </xdr:to>
    <xdr:sp macro="" textlink="">
      <xdr:nvSpPr>
        <xdr:cNvPr id="6" name="Rectangle: Rounded Corners 5">
          <a:extLst>
            <a:ext uri="{FF2B5EF4-FFF2-40B4-BE49-F238E27FC236}">
              <a16:creationId xmlns:a16="http://schemas.microsoft.com/office/drawing/2014/main" id="{6E13A59E-9608-A9BC-3E21-2DB14F21F0BD}"/>
            </a:ext>
          </a:extLst>
        </xdr:cNvPr>
        <xdr:cNvSpPr/>
      </xdr:nvSpPr>
      <xdr:spPr>
        <a:xfrm>
          <a:off x="814552" y="585703"/>
          <a:ext cx="1230586" cy="554470"/>
        </a:xfrm>
        <a:prstGeom prst="roundRect">
          <a:avLst>
            <a:gd name="adj" fmla="val 650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noFill/>
          </a:endParaRPr>
        </a:p>
      </xdr:txBody>
    </xdr:sp>
    <xdr:clientData/>
  </xdr:twoCellAnchor>
  <xdr:twoCellAnchor>
    <xdr:from>
      <xdr:col>5</xdr:col>
      <xdr:colOff>306045</xdr:colOff>
      <xdr:row>3</xdr:row>
      <xdr:rowOff>21700</xdr:rowOff>
    </xdr:from>
    <xdr:to>
      <xdr:col>7</xdr:col>
      <xdr:colOff>333260</xdr:colOff>
      <xdr:row>6</xdr:row>
      <xdr:rowOff>35951</xdr:rowOff>
    </xdr:to>
    <xdr:sp macro="" textlink="">
      <xdr:nvSpPr>
        <xdr:cNvPr id="9" name="Rectangle: Rounded Corners 8">
          <a:extLst>
            <a:ext uri="{FF2B5EF4-FFF2-40B4-BE49-F238E27FC236}">
              <a16:creationId xmlns:a16="http://schemas.microsoft.com/office/drawing/2014/main" id="{05BE6BB2-E9CA-F832-A8BF-9799772555B8}"/>
            </a:ext>
          </a:extLst>
        </xdr:cNvPr>
        <xdr:cNvSpPr/>
      </xdr:nvSpPr>
      <xdr:spPr>
        <a:xfrm>
          <a:off x="3351892" y="577056"/>
          <a:ext cx="1245554" cy="569607"/>
        </a:xfrm>
        <a:prstGeom prst="roundRect">
          <a:avLst>
            <a:gd name="adj" fmla="val 8256"/>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noFill/>
          </a:endParaRPr>
        </a:p>
      </xdr:txBody>
    </xdr:sp>
    <xdr:clientData/>
  </xdr:twoCellAnchor>
  <xdr:twoCellAnchor editAs="absolute">
    <xdr:from>
      <xdr:col>10</xdr:col>
      <xdr:colOff>105550</xdr:colOff>
      <xdr:row>0</xdr:row>
      <xdr:rowOff>56279</xdr:rowOff>
    </xdr:from>
    <xdr:to>
      <xdr:col>12</xdr:col>
      <xdr:colOff>339894</xdr:colOff>
      <xdr:row>6</xdr:row>
      <xdr:rowOff>126129</xdr:rowOff>
    </xdr:to>
    <xdr:sp macro="" textlink="">
      <xdr:nvSpPr>
        <xdr:cNvPr id="11" name="Rectangle: Rounded Corners 10">
          <a:extLst>
            <a:ext uri="{FF2B5EF4-FFF2-40B4-BE49-F238E27FC236}">
              <a16:creationId xmlns:a16="http://schemas.microsoft.com/office/drawing/2014/main" id="{4B66EB8F-5214-40B5-6537-4A7C644D3B70}"/>
            </a:ext>
          </a:extLst>
        </xdr:cNvPr>
        <xdr:cNvSpPr/>
      </xdr:nvSpPr>
      <xdr:spPr>
        <a:xfrm>
          <a:off x="6212359" y="56279"/>
          <a:ext cx="1455705" cy="1172318"/>
        </a:xfrm>
        <a:prstGeom prst="roundRect">
          <a:avLst>
            <a:gd name="adj" fmla="val 1115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noFill/>
          </a:endParaRPr>
        </a:p>
      </xdr:txBody>
    </xdr:sp>
    <xdr:clientData/>
  </xdr:twoCellAnchor>
  <xdr:twoCellAnchor editAs="absolute">
    <xdr:from>
      <xdr:col>7</xdr:col>
      <xdr:colOff>421630</xdr:colOff>
      <xdr:row>7</xdr:row>
      <xdr:rowOff>10898</xdr:rowOff>
    </xdr:from>
    <xdr:to>
      <xdr:col>12</xdr:col>
      <xdr:colOff>349059</xdr:colOff>
      <xdr:row>15</xdr:row>
      <xdr:rowOff>134542</xdr:rowOff>
    </xdr:to>
    <xdr:sp macro="" textlink="">
      <xdr:nvSpPr>
        <xdr:cNvPr id="12" name="Rectangle: Rounded Corners 11">
          <a:extLst>
            <a:ext uri="{FF2B5EF4-FFF2-40B4-BE49-F238E27FC236}">
              <a16:creationId xmlns:a16="http://schemas.microsoft.com/office/drawing/2014/main" id="{4AACCE6D-763E-60C2-08AB-06465BE388BB}"/>
            </a:ext>
          </a:extLst>
        </xdr:cNvPr>
        <xdr:cNvSpPr/>
      </xdr:nvSpPr>
      <xdr:spPr>
        <a:xfrm>
          <a:off x="4695668" y="1310206"/>
          <a:ext cx="2980314" cy="1608567"/>
        </a:xfrm>
        <a:prstGeom prst="roundRect">
          <a:avLst>
            <a:gd name="adj" fmla="val 8958"/>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noFill/>
          </a:endParaRPr>
        </a:p>
      </xdr:txBody>
    </xdr:sp>
    <xdr:clientData/>
  </xdr:twoCellAnchor>
  <xdr:twoCellAnchor editAs="absolute">
    <xdr:from>
      <xdr:col>1</xdr:col>
      <xdr:colOff>193745</xdr:colOff>
      <xdr:row>6</xdr:row>
      <xdr:rowOff>79829</xdr:rowOff>
    </xdr:from>
    <xdr:to>
      <xdr:col>7</xdr:col>
      <xdr:colOff>339794</xdr:colOff>
      <xdr:row>8</xdr:row>
      <xdr:rowOff>158749</xdr:rowOff>
    </xdr:to>
    <xdr:sp macro="" textlink="">
      <xdr:nvSpPr>
        <xdr:cNvPr id="14" name="Rectangle: Rounded Corners 13">
          <a:extLst>
            <a:ext uri="{FF2B5EF4-FFF2-40B4-BE49-F238E27FC236}">
              <a16:creationId xmlns:a16="http://schemas.microsoft.com/office/drawing/2014/main" id="{812EF7F8-A513-5822-E9CC-F9963F5812A1}"/>
            </a:ext>
          </a:extLst>
        </xdr:cNvPr>
        <xdr:cNvSpPr/>
      </xdr:nvSpPr>
      <xdr:spPr>
        <a:xfrm>
          <a:off x="802469" y="1183415"/>
          <a:ext cx="3798394" cy="446782"/>
        </a:xfrm>
        <a:prstGeom prst="roundRect">
          <a:avLst>
            <a:gd name="adj" fmla="val 1470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noFill/>
          </a:endParaRPr>
        </a:p>
      </xdr:txBody>
    </xdr:sp>
    <xdr:clientData/>
  </xdr:twoCellAnchor>
  <xdr:twoCellAnchor>
    <xdr:from>
      <xdr:col>1</xdr:col>
      <xdr:colOff>108857</xdr:colOff>
      <xdr:row>0</xdr:row>
      <xdr:rowOff>68036</xdr:rowOff>
    </xdr:from>
    <xdr:to>
      <xdr:col>5</xdr:col>
      <xdr:colOff>190500</xdr:colOff>
      <xdr:row>1</xdr:row>
      <xdr:rowOff>172357</xdr:rowOff>
    </xdr:to>
    <xdr:sp macro="" textlink="">
      <xdr:nvSpPr>
        <xdr:cNvPr id="15" name="TextBox 14">
          <a:extLst>
            <a:ext uri="{FF2B5EF4-FFF2-40B4-BE49-F238E27FC236}">
              <a16:creationId xmlns:a16="http://schemas.microsoft.com/office/drawing/2014/main" id="{B89BC5CB-E178-85BE-405C-9CFFA89B0A47}"/>
            </a:ext>
          </a:extLst>
        </xdr:cNvPr>
        <xdr:cNvSpPr txBox="1"/>
      </xdr:nvSpPr>
      <xdr:spPr>
        <a:xfrm>
          <a:off x="717214" y="68036"/>
          <a:ext cx="2515069" cy="286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a:solidFill>
                <a:schemeClr val="tx1"/>
              </a:solidFill>
            </a:rPr>
            <a:t>Hospital Emergency Room  </a:t>
          </a:r>
        </a:p>
      </xdr:txBody>
    </xdr:sp>
    <xdr:clientData/>
  </xdr:twoCellAnchor>
  <xdr:twoCellAnchor>
    <xdr:from>
      <xdr:col>1</xdr:col>
      <xdr:colOff>86180</xdr:colOff>
      <xdr:row>3</xdr:row>
      <xdr:rowOff>181427</xdr:rowOff>
    </xdr:from>
    <xdr:to>
      <xdr:col>3</xdr:col>
      <xdr:colOff>77108</xdr:colOff>
      <xdr:row>4</xdr:row>
      <xdr:rowOff>154214</xdr:rowOff>
    </xdr:to>
    <xdr:sp macro="" textlink="">
      <xdr:nvSpPr>
        <xdr:cNvPr id="18" name="TextBox 17">
          <a:extLst>
            <a:ext uri="{FF2B5EF4-FFF2-40B4-BE49-F238E27FC236}">
              <a16:creationId xmlns:a16="http://schemas.microsoft.com/office/drawing/2014/main" id="{51F0242E-3575-9BA7-130D-AE9DBE59D2E8}"/>
            </a:ext>
          </a:extLst>
        </xdr:cNvPr>
        <xdr:cNvSpPr txBox="1"/>
      </xdr:nvSpPr>
      <xdr:spPr>
        <a:xfrm>
          <a:off x="693966" y="739320"/>
          <a:ext cx="1206499" cy="158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a:solidFill>
                <a:schemeClr val="tx1"/>
              </a:solidFill>
            </a:rPr>
            <a:t>No. of</a:t>
          </a:r>
          <a:r>
            <a:rPr lang="en-IN" sz="1100" baseline="0">
              <a:solidFill>
                <a:schemeClr val="tx1"/>
              </a:solidFill>
            </a:rPr>
            <a:t> </a:t>
          </a:r>
          <a:r>
            <a:rPr lang="en-IN" sz="900" baseline="0">
              <a:solidFill>
                <a:schemeClr val="tx1"/>
              </a:solidFill>
            </a:rPr>
            <a:t>Patients</a:t>
          </a:r>
          <a:endParaRPr lang="en-IN" sz="900">
            <a:solidFill>
              <a:schemeClr val="tx1"/>
            </a:solidFill>
          </a:endParaRPr>
        </a:p>
      </xdr:txBody>
    </xdr:sp>
    <xdr:clientData/>
  </xdr:twoCellAnchor>
  <xdr:twoCellAnchor>
    <xdr:from>
      <xdr:col>2</xdr:col>
      <xdr:colOff>249464</xdr:colOff>
      <xdr:row>1</xdr:row>
      <xdr:rowOff>104323</xdr:rowOff>
    </xdr:from>
    <xdr:to>
      <xdr:col>4</xdr:col>
      <xdr:colOff>140607</xdr:colOff>
      <xdr:row>2</xdr:row>
      <xdr:rowOff>108858</xdr:rowOff>
    </xdr:to>
    <xdr:sp macro="" textlink="">
      <xdr:nvSpPr>
        <xdr:cNvPr id="20" name="TextBox 19">
          <a:extLst>
            <a:ext uri="{FF2B5EF4-FFF2-40B4-BE49-F238E27FC236}">
              <a16:creationId xmlns:a16="http://schemas.microsoft.com/office/drawing/2014/main" id="{FA63C50F-9B6A-6C39-32D0-CD303D237391}"/>
            </a:ext>
          </a:extLst>
        </xdr:cNvPr>
        <xdr:cNvSpPr txBox="1"/>
      </xdr:nvSpPr>
      <xdr:spPr>
        <a:xfrm>
          <a:off x="1466177" y="286386"/>
          <a:ext cx="1107857" cy="186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a:solidFill>
                <a:schemeClr val="tx1"/>
              </a:solidFill>
            </a:rPr>
            <a:t>Monthly Report</a:t>
          </a:r>
        </a:p>
      </xdr:txBody>
    </xdr:sp>
    <xdr:clientData/>
  </xdr:twoCellAnchor>
  <xdr:twoCellAnchor>
    <xdr:from>
      <xdr:col>1</xdr:col>
      <xdr:colOff>140608</xdr:colOff>
      <xdr:row>3</xdr:row>
      <xdr:rowOff>18143</xdr:rowOff>
    </xdr:from>
    <xdr:to>
      <xdr:col>3</xdr:col>
      <xdr:colOff>145144</xdr:colOff>
      <xdr:row>4</xdr:row>
      <xdr:rowOff>68036</xdr:rowOff>
    </xdr:to>
    <xdr:sp macro="" textlink="'Pivot Report'!A6">
      <xdr:nvSpPr>
        <xdr:cNvPr id="21" name="TextBox 20">
          <a:extLst>
            <a:ext uri="{FF2B5EF4-FFF2-40B4-BE49-F238E27FC236}">
              <a16:creationId xmlns:a16="http://schemas.microsoft.com/office/drawing/2014/main" id="{F0E0E097-7862-59B8-2C4E-5B426A8D2315}"/>
            </a:ext>
          </a:extLst>
        </xdr:cNvPr>
        <xdr:cNvSpPr txBox="1"/>
      </xdr:nvSpPr>
      <xdr:spPr>
        <a:xfrm>
          <a:off x="748965" y="564332"/>
          <a:ext cx="1221249" cy="231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2FE04F02-4C89-4C07-A1E0-A0BEC67C1CB8}" type="TxLink">
            <a:rPr lang="en-US" sz="1200" b="0" i="0" u="none" strike="noStrike">
              <a:solidFill>
                <a:schemeClr val="tx1"/>
              </a:solidFill>
              <a:latin typeface="Calibri"/>
              <a:ea typeface="Calibri"/>
              <a:cs typeface="Calibri"/>
            </a:rPr>
            <a:pPr algn="ctr"/>
            <a:t>469</a:t>
          </a:fld>
          <a:endParaRPr lang="en-US" sz="1200">
            <a:solidFill>
              <a:schemeClr val="tx1"/>
            </a:solidFill>
          </a:endParaRPr>
        </a:p>
      </xdr:txBody>
    </xdr:sp>
    <xdr:clientData/>
  </xdr:twoCellAnchor>
  <xdr:twoCellAnchor>
    <xdr:from>
      <xdr:col>3</xdr:col>
      <xdr:colOff>258537</xdr:colOff>
      <xdr:row>3</xdr:row>
      <xdr:rowOff>29937</xdr:rowOff>
    </xdr:from>
    <xdr:to>
      <xdr:col>5</xdr:col>
      <xdr:colOff>31751</xdr:colOff>
      <xdr:row>4</xdr:row>
      <xdr:rowOff>79830</xdr:rowOff>
    </xdr:to>
    <xdr:sp macro="" textlink="'Pivot Report'!A11">
      <xdr:nvSpPr>
        <xdr:cNvPr id="22" name="TextBox 21">
          <a:extLst>
            <a:ext uri="{FF2B5EF4-FFF2-40B4-BE49-F238E27FC236}">
              <a16:creationId xmlns:a16="http://schemas.microsoft.com/office/drawing/2014/main" id="{343DF25A-B465-C2CD-40AE-815F3D8749AD}"/>
            </a:ext>
          </a:extLst>
        </xdr:cNvPr>
        <xdr:cNvSpPr txBox="1"/>
      </xdr:nvSpPr>
      <xdr:spPr>
        <a:xfrm>
          <a:off x="2081894" y="587830"/>
          <a:ext cx="988786" cy="235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534AA11F-EB05-4121-8467-1261023C42C5}" type="TxLink">
            <a:rPr lang="en-US" sz="1100" b="0" i="0" u="none" strike="noStrike">
              <a:solidFill>
                <a:schemeClr val="tx1"/>
              </a:solidFill>
              <a:latin typeface="Calibri"/>
              <a:ea typeface="Calibri"/>
              <a:cs typeface="Calibri"/>
            </a:rPr>
            <a:pPr algn="ctr"/>
            <a:t>35.04</a:t>
          </a:fld>
          <a:endParaRPr lang="en-US" sz="1100">
            <a:solidFill>
              <a:schemeClr val="tx1"/>
            </a:solidFill>
          </a:endParaRPr>
        </a:p>
      </xdr:txBody>
    </xdr:sp>
    <xdr:clientData/>
  </xdr:twoCellAnchor>
  <xdr:twoCellAnchor>
    <xdr:from>
      <xdr:col>5</xdr:col>
      <xdr:colOff>258535</xdr:colOff>
      <xdr:row>3</xdr:row>
      <xdr:rowOff>9981</xdr:rowOff>
    </xdr:from>
    <xdr:to>
      <xdr:col>7</xdr:col>
      <xdr:colOff>105229</xdr:colOff>
      <xdr:row>4</xdr:row>
      <xdr:rowOff>59874</xdr:rowOff>
    </xdr:to>
    <xdr:sp macro="" textlink="'Pivot Report'!A16">
      <xdr:nvSpPr>
        <xdr:cNvPr id="23" name="TextBox 22">
          <a:extLst>
            <a:ext uri="{FF2B5EF4-FFF2-40B4-BE49-F238E27FC236}">
              <a16:creationId xmlns:a16="http://schemas.microsoft.com/office/drawing/2014/main" id="{F32CF823-42C2-4C6D-26D4-D2C0A2E44CBA}"/>
            </a:ext>
          </a:extLst>
        </xdr:cNvPr>
        <xdr:cNvSpPr txBox="1"/>
      </xdr:nvSpPr>
      <xdr:spPr>
        <a:xfrm>
          <a:off x="3297464" y="567874"/>
          <a:ext cx="1062265" cy="235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187F36FA-F3C1-4591-A946-B4B10B4D5A23}" type="TxLink">
            <a:rPr lang="en-US" sz="1400" b="0" i="0" u="none" strike="noStrike">
              <a:solidFill>
                <a:schemeClr val="tx1"/>
              </a:solidFill>
              <a:latin typeface="Calibri"/>
              <a:ea typeface="Calibri"/>
              <a:cs typeface="Calibri"/>
            </a:rPr>
            <a:pPr algn="ctr"/>
            <a:t>4.63</a:t>
          </a:fld>
          <a:endParaRPr lang="en-US" sz="1400">
            <a:solidFill>
              <a:schemeClr val="tx1"/>
            </a:solidFill>
          </a:endParaRPr>
        </a:p>
      </xdr:txBody>
    </xdr:sp>
    <xdr:clientData/>
  </xdr:twoCellAnchor>
  <xdr:twoCellAnchor>
    <xdr:from>
      <xdr:col>3</xdr:col>
      <xdr:colOff>197758</xdr:colOff>
      <xdr:row>3</xdr:row>
      <xdr:rowOff>175077</xdr:rowOff>
    </xdr:from>
    <xdr:to>
      <xdr:col>5</xdr:col>
      <xdr:colOff>140607</xdr:colOff>
      <xdr:row>4</xdr:row>
      <xdr:rowOff>175078</xdr:rowOff>
    </xdr:to>
    <xdr:sp macro="" textlink="">
      <xdr:nvSpPr>
        <xdr:cNvPr id="24" name="TextBox 23">
          <a:extLst>
            <a:ext uri="{FF2B5EF4-FFF2-40B4-BE49-F238E27FC236}">
              <a16:creationId xmlns:a16="http://schemas.microsoft.com/office/drawing/2014/main" id="{1777A394-D720-7A6B-BEA0-5F3F2F8132D4}"/>
            </a:ext>
          </a:extLst>
        </xdr:cNvPr>
        <xdr:cNvSpPr txBox="1"/>
      </xdr:nvSpPr>
      <xdr:spPr>
        <a:xfrm>
          <a:off x="2021115" y="732970"/>
          <a:ext cx="1158421" cy="185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solidFill>
                <a:schemeClr val="tx1"/>
              </a:solidFill>
            </a:rPr>
            <a:t>Average Wait Time</a:t>
          </a:r>
        </a:p>
      </xdr:txBody>
    </xdr:sp>
    <xdr:clientData/>
  </xdr:twoCellAnchor>
  <xdr:twoCellAnchor>
    <xdr:from>
      <xdr:col>5</xdr:col>
      <xdr:colOff>232228</xdr:colOff>
      <xdr:row>4</xdr:row>
      <xdr:rowOff>14513</xdr:rowOff>
    </xdr:from>
    <xdr:to>
      <xdr:col>7</xdr:col>
      <xdr:colOff>371928</xdr:colOff>
      <xdr:row>5</xdr:row>
      <xdr:rowOff>14514</xdr:rowOff>
    </xdr:to>
    <xdr:sp macro="" textlink="">
      <xdr:nvSpPr>
        <xdr:cNvPr id="25" name="TextBox 24">
          <a:extLst>
            <a:ext uri="{FF2B5EF4-FFF2-40B4-BE49-F238E27FC236}">
              <a16:creationId xmlns:a16="http://schemas.microsoft.com/office/drawing/2014/main" id="{6713D17B-4E5E-9AD3-ECF7-730A67F76F5B}"/>
            </a:ext>
          </a:extLst>
        </xdr:cNvPr>
        <xdr:cNvSpPr txBox="1"/>
      </xdr:nvSpPr>
      <xdr:spPr>
        <a:xfrm>
          <a:off x="3285632" y="749492"/>
          <a:ext cx="1361062" cy="183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solidFill>
                <a:schemeClr val="tx1"/>
              </a:solidFill>
            </a:rPr>
            <a:t>Patient Satisfaction Score</a:t>
          </a:r>
        </a:p>
      </xdr:txBody>
    </xdr:sp>
    <xdr:clientData/>
  </xdr:twoCellAnchor>
  <xdr:twoCellAnchor editAs="oneCell">
    <xdr:from>
      <xdr:col>2</xdr:col>
      <xdr:colOff>523078</xdr:colOff>
      <xdr:row>3</xdr:row>
      <xdr:rowOff>21971</xdr:rowOff>
    </xdr:from>
    <xdr:to>
      <xdr:col>3</xdr:col>
      <xdr:colOff>208643</xdr:colOff>
      <xdr:row>4</xdr:row>
      <xdr:rowOff>117928</xdr:rowOff>
    </xdr:to>
    <xdr:pic>
      <xdr:nvPicPr>
        <xdr:cNvPr id="27" name="Graphic 26" descr="User with solid fill">
          <a:extLst>
            <a:ext uri="{FF2B5EF4-FFF2-40B4-BE49-F238E27FC236}">
              <a16:creationId xmlns:a16="http://schemas.microsoft.com/office/drawing/2014/main" id="{A981D0E4-759D-ACAD-F2AA-470D920C70D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38649" y="579864"/>
          <a:ext cx="293351" cy="281921"/>
        </a:xfrm>
        <a:prstGeom prst="rect">
          <a:avLst/>
        </a:prstGeom>
      </xdr:spPr>
    </xdr:pic>
    <xdr:clientData/>
  </xdr:twoCellAnchor>
  <xdr:twoCellAnchor editAs="oneCell">
    <xdr:from>
      <xdr:col>5</xdr:col>
      <xdr:colOff>40822</xdr:colOff>
      <xdr:row>3</xdr:row>
      <xdr:rowOff>36287</xdr:rowOff>
    </xdr:from>
    <xdr:to>
      <xdr:col>5</xdr:col>
      <xdr:colOff>263072</xdr:colOff>
      <xdr:row>4</xdr:row>
      <xdr:rowOff>72573</xdr:rowOff>
    </xdr:to>
    <xdr:pic>
      <xdr:nvPicPr>
        <xdr:cNvPr id="29" name="Graphic 28" descr="Hourglass Finished with solid fill">
          <a:extLst>
            <a:ext uri="{FF2B5EF4-FFF2-40B4-BE49-F238E27FC236}">
              <a16:creationId xmlns:a16="http://schemas.microsoft.com/office/drawing/2014/main" id="{30DCB86F-38E8-491A-E887-C784CA12978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079751" y="594180"/>
          <a:ext cx="222250" cy="222250"/>
        </a:xfrm>
        <a:prstGeom prst="rect">
          <a:avLst/>
        </a:prstGeom>
      </xdr:spPr>
    </xdr:pic>
    <xdr:clientData/>
  </xdr:twoCellAnchor>
  <xdr:twoCellAnchor editAs="oneCell">
    <xdr:from>
      <xdr:col>0</xdr:col>
      <xdr:colOff>98818</xdr:colOff>
      <xdr:row>0</xdr:row>
      <xdr:rowOff>118576</xdr:rowOff>
    </xdr:from>
    <xdr:to>
      <xdr:col>1</xdr:col>
      <xdr:colOff>140607</xdr:colOff>
      <xdr:row>2</xdr:row>
      <xdr:rowOff>136071</xdr:rowOff>
    </xdr:to>
    <xdr:pic>
      <xdr:nvPicPr>
        <xdr:cNvPr id="33" name="Picture 32">
          <a:extLst>
            <a:ext uri="{FF2B5EF4-FFF2-40B4-BE49-F238E27FC236}">
              <a16:creationId xmlns:a16="http://schemas.microsoft.com/office/drawing/2014/main" id="{8AEAC1C5-3C39-3AD3-6CC4-6CC12CA9C9B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8818" y="118576"/>
          <a:ext cx="649575" cy="389424"/>
        </a:xfrm>
        <a:prstGeom prst="rect">
          <a:avLst/>
        </a:prstGeom>
      </xdr:spPr>
    </xdr:pic>
    <xdr:clientData/>
  </xdr:twoCellAnchor>
  <xdr:twoCellAnchor editAs="oneCell">
    <xdr:from>
      <xdr:col>0</xdr:col>
      <xdr:colOff>108858</xdr:colOff>
      <xdr:row>3</xdr:row>
      <xdr:rowOff>68034</xdr:rowOff>
    </xdr:from>
    <xdr:to>
      <xdr:col>1</xdr:col>
      <xdr:colOff>108857</xdr:colOff>
      <xdr:row>15</xdr:row>
      <xdr:rowOff>122463</xdr:rowOff>
    </xdr:to>
    <mc:AlternateContent xmlns:mc="http://schemas.openxmlformats.org/markup-compatibility/2006" xmlns:a14="http://schemas.microsoft.com/office/drawing/2010/main">
      <mc:Choice Requires="a14">
        <xdr:graphicFrame macro="">
          <xdr:nvGraphicFramePr>
            <xdr:cNvPr id="10" name="Date (Month)">
              <a:extLst>
                <a:ext uri="{FF2B5EF4-FFF2-40B4-BE49-F238E27FC236}">
                  <a16:creationId xmlns:a16="http://schemas.microsoft.com/office/drawing/2014/main" id="{EE599B67-6D78-4011-B522-FD97CFE26A17}"/>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08858" y="625927"/>
              <a:ext cx="607785" cy="228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209987</xdr:colOff>
      <xdr:row>4</xdr:row>
      <xdr:rowOff>140608</xdr:rowOff>
    </xdr:from>
    <xdr:to>
      <xdr:col>3</xdr:col>
      <xdr:colOff>217025</xdr:colOff>
      <xdr:row>6</xdr:row>
      <xdr:rowOff>31085</xdr:rowOff>
    </xdr:to>
    <xdr:graphicFrame macro="">
      <xdr:nvGraphicFramePr>
        <xdr:cNvPr id="16" name="Chart 15">
          <a:hlinkClick xmlns:r="http://schemas.openxmlformats.org/officeDocument/2006/relationships" r:id="rId6"/>
          <a:extLst>
            <a:ext uri="{FF2B5EF4-FFF2-40B4-BE49-F238E27FC236}">
              <a16:creationId xmlns:a16="http://schemas.microsoft.com/office/drawing/2014/main" id="{1C8D6B5F-9F5E-46DF-B88C-FCF2EA1571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256459</xdr:colOff>
      <xdr:row>4</xdr:row>
      <xdr:rowOff>128922</xdr:rowOff>
    </xdr:from>
    <xdr:to>
      <xdr:col>5</xdr:col>
      <xdr:colOff>256458</xdr:colOff>
      <xdr:row>6</xdr:row>
      <xdr:rowOff>29137</xdr:rowOff>
    </xdr:to>
    <xdr:graphicFrame macro="">
      <xdr:nvGraphicFramePr>
        <xdr:cNvPr id="17" name="Chart 16">
          <a:hlinkClick xmlns:r="http://schemas.openxmlformats.org/officeDocument/2006/relationships" r:id="rId8"/>
          <a:extLst>
            <a:ext uri="{FF2B5EF4-FFF2-40B4-BE49-F238E27FC236}">
              <a16:creationId xmlns:a16="http://schemas.microsoft.com/office/drawing/2014/main" id="{A61E0CA8-4234-40ED-A9E1-F58322F523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292072</xdr:colOff>
      <xdr:row>4</xdr:row>
      <xdr:rowOff>142760</xdr:rowOff>
    </xdr:from>
    <xdr:to>
      <xdr:col>7</xdr:col>
      <xdr:colOff>331492</xdr:colOff>
      <xdr:row>6</xdr:row>
      <xdr:rowOff>34166</xdr:rowOff>
    </xdr:to>
    <xdr:graphicFrame macro="">
      <xdr:nvGraphicFramePr>
        <xdr:cNvPr id="13" name="Chart 12">
          <a:hlinkClick xmlns:r="http://schemas.openxmlformats.org/officeDocument/2006/relationships" r:id="rId10"/>
          <a:extLst>
            <a:ext uri="{FF2B5EF4-FFF2-40B4-BE49-F238E27FC236}">
              <a16:creationId xmlns:a16="http://schemas.microsoft.com/office/drawing/2014/main" id="{5329E021-4EF0-4915-BDCB-FF6DF27D20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201448</xdr:colOff>
          <xdr:row>6</xdr:row>
          <xdr:rowOff>76814</xdr:rowOff>
        </xdr:from>
        <xdr:to>
          <xdr:col>7</xdr:col>
          <xdr:colOff>341585</xdr:colOff>
          <xdr:row>8</xdr:row>
          <xdr:rowOff>147053</xdr:rowOff>
        </xdr:to>
        <xdr:pic>
          <xdr:nvPicPr>
            <xdr:cNvPr id="43" name="Picture 42">
              <a:extLst>
                <a:ext uri="{FF2B5EF4-FFF2-40B4-BE49-F238E27FC236}">
                  <a16:creationId xmlns:a16="http://schemas.microsoft.com/office/drawing/2014/main" id="{3D8F4923-5400-277F-B652-D107105C16F3}"/>
                </a:ext>
              </a:extLst>
            </xdr:cNvPr>
            <xdr:cNvPicPr>
              <a:picLocks noChangeAspect="1" noChangeArrowheads="1"/>
              <a:extLst>
                <a:ext uri="{84589F7E-364E-4C9E-8A38-B11213B215E9}">
                  <a14:cameraTool cellRange="'Pivot Report'!$P$11:$S$13" spid="_x0000_s2080"/>
                </a:ext>
              </a:extLst>
            </xdr:cNvPicPr>
          </xdr:nvPicPr>
          <xdr:blipFill>
            <a:blip xmlns:r="http://schemas.openxmlformats.org/officeDocument/2006/relationships" r:embed="rId12"/>
            <a:srcRect/>
            <a:stretch>
              <a:fillRect/>
            </a:stretch>
          </xdr:blipFill>
          <xdr:spPr bwMode="auto">
            <a:xfrm>
              <a:off x="812025" y="1190506"/>
              <a:ext cx="3803598" cy="44147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252649</xdr:colOff>
      <xdr:row>9</xdr:row>
      <xdr:rowOff>43794</xdr:rowOff>
    </xdr:from>
    <xdr:to>
      <xdr:col>7</xdr:col>
      <xdr:colOff>341585</xdr:colOff>
      <xdr:row>14</xdr:row>
      <xdr:rowOff>150395</xdr:rowOff>
    </xdr:to>
    <xdr:graphicFrame macro="">
      <xdr:nvGraphicFramePr>
        <xdr:cNvPr id="44" name="Chart 43">
          <a:extLst>
            <a:ext uri="{FF2B5EF4-FFF2-40B4-BE49-F238E27FC236}">
              <a16:creationId xmlns:a16="http://schemas.microsoft.com/office/drawing/2014/main" id="{55EA5FB6-D541-42B4-8A5C-27B29D91F1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31820</xdr:colOff>
      <xdr:row>14</xdr:row>
      <xdr:rowOff>107670</xdr:rowOff>
    </xdr:from>
    <xdr:to>
      <xdr:col>5</xdr:col>
      <xdr:colOff>449942</xdr:colOff>
      <xdr:row>15</xdr:row>
      <xdr:rowOff>107671</xdr:rowOff>
    </xdr:to>
    <xdr:sp macro="" textlink="">
      <xdr:nvSpPr>
        <xdr:cNvPr id="46" name="TextBox 45">
          <a:extLst>
            <a:ext uri="{FF2B5EF4-FFF2-40B4-BE49-F238E27FC236}">
              <a16:creationId xmlns:a16="http://schemas.microsoft.com/office/drawing/2014/main" id="{568BDBED-4A7D-8100-F1B3-7E36FBC6C445}"/>
            </a:ext>
          </a:extLst>
        </xdr:cNvPr>
        <xdr:cNvSpPr txBox="1"/>
      </xdr:nvSpPr>
      <xdr:spPr>
        <a:xfrm>
          <a:off x="1860620" y="2698470"/>
          <a:ext cx="1637322" cy="185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solidFill>
                <a:schemeClr val="tx1"/>
              </a:solidFill>
            </a:rPr>
            <a:t>No. of Patient by Age Group</a:t>
          </a:r>
        </a:p>
      </xdr:txBody>
    </xdr:sp>
    <xdr:clientData/>
  </xdr:twoCellAnchor>
  <xdr:twoCellAnchor>
    <xdr:from>
      <xdr:col>7</xdr:col>
      <xdr:colOff>449386</xdr:colOff>
      <xdr:row>0</xdr:row>
      <xdr:rowOff>54043</xdr:rowOff>
    </xdr:from>
    <xdr:to>
      <xdr:col>10</xdr:col>
      <xdr:colOff>24423</xdr:colOff>
      <xdr:row>5</xdr:row>
      <xdr:rowOff>151320</xdr:rowOff>
    </xdr:to>
    <xdr:graphicFrame macro="">
      <xdr:nvGraphicFramePr>
        <xdr:cNvPr id="48" name="Chart 47">
          <a:extLst>
            <a:ext uri="{FF2B5EF4-FFF2-40B4-BE49-F238E27FC236}">
              <a16:creationId xmlns:a16="http://schemas.microsoft.com/office/drawing/2014/main" id="{5CE4AF35-4EDE-4CB8-BDBE-C3AF9D6724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xdr:col>
      <xdr:colOff>478121</xdr:colOff>
      <xdr:row>5</xdr:row>
      <xdr:rowOff>172936</xdr:rowOff>
    </xdr:from>
    <xdr:to>
      <xdr:col>10</xdr:col>
      <xdr:colOff>7140</xdr:colOff>
      <xdr:row>6</xdr:row>
      <xdr:rowOff>124298</xdr:rowOff>
    </xdr:to>
    <xdr:sp macro="" textlink="">
      <xdr:nvSpPr>
        <xdr:cNvPr id="49" name="TextBox 48">
          <a:extLst>
            <a:ext uri="{FF2B5EF4-FFF2-40B4-BE49-F238E27FC236}">
              <a16:creationId xmlns:a16="http://schemas.microsoft.com/office/drawing/2014/main" id="{359B0566-C05E-B069-035F-7690BCDAF52B}"/>
            </a:ext>
          </a:extLst>
        </xdr:cNvPr>
        <xdr:cNvSpPr txBox="1"/>
      </xdr:nvSpPr>
      <xdr:spPr>
        <a:xfrm>
          <a:off x="4752887" y="1091659"/>
          <a:ext cx="1361062" cy="135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700">
              <a:solidFill>
                <a:schemeClr val="tx1"/>
              </a:solidFill>
            </a:rPr>
            <a:t>Patient Admission</a:t>
          </a:r>
        </a:p>
      </xdr:txBody>
    </xdr:sp>
    <xdr:clientData/>
  </xdr:twoCellAnchor>
  <xdr:twoCellAnchor>
    <xdr:from>
      <xdr:col>10</xdr:col>
      <xdr:colOff>105434</xdr:colOff>
      <xdr:row>0</xdr:row>
      <xdr:rowOff>57509</xdr:rowOff>
    </xdr:from>
    <xdr:to>
      <xdr:col>12</xdr:col>
      <xdr:colOff>333074</xdr:colOff>
      <xdr:row>6</xdr:row>
      <xdr:rowOff>9584</xdr:rowOff>
    </xdr:to>
    <xdr:graphicFrame macro="">
      <xdr:nvGraphicFramePr>
        <xdr:cNvPr id="50" name="Chart 49">
          <a:extLst>
            <a:ext uri="{FF2B5EF4-FFF2-40B4-BE49-F238E27FC236}">
              <a16:creationId xmlns:a16="http://schemas.microsoft.com/office/drawing/2014/main" id="{C6BF70DD-E8CD-4042-8510-08D9EB6D22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xdr:col>
      <xdr:colOff>70763</xdr:colOff>
      <xdr:row>6</xdr:row>
      <xdr:rowOff>9992</xdr:rowOff>
    </xdr:from>
    <xdr:to>
      <xdr:col>12</xdr:col>
      <xdr:colOff>208423</xdr:colOff>
      <xdr:row>6</xdr:row>
      <xdr:rowOff>107830</xdr:rowOff>
    </xdr:to>
    <xdr:sp macro="" textlink="">
      <xdr:nvSpPr>
        <xdr:cNvPr id="51" name="TextBox 50">
          <a:extLst>
            <a:ext uri="{FF2B5EF4-FFF2-40B4-BE49-F238E27FC236}">
              <a16:creationId xmlns:a16="http://schemas.microsoft.com/office/drawing/2014/main" id="{6F0C99C3-B26B-71AB-BE60-92405DCF430B}"/>
            </a:ext>
          </a:extLst>
        </xdr:cNvPr>
        <xdr:cNvSpPr txBox="1"/>
      </xdr:nvSpPr>
      <xdr:spPr>
        <a:xfrm>
          <a:off x="6157178" y="1117049"/>
          <a:ext cx="1354943" cy="97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600">
              <a:solidFill>
                <a:schemeClr val="tx1"/>
              </a:solidFill>
            </a:rPr>
            <a:t>Gender-Wise</a:t>
          </a:r>
          <a:r>
            <a:rPr lang="en-IN" sz="600" baseline="0">
              <a:solidFill>
                <a:schemeClr val="tx1"/>
              </a:solidFill>
            </a:rPr>
            <a:t> Analysis </a:t>
          </a:r>
          <a:endParaRPr lang="en-IN" sz="600">
            <a:solidFill>
              <a:schemeClr val="tx1"/>
            </a:solidFill>
          </a:endParaRPr>
        </a:p>
      </xdr:txBody>
    </xdr:sp>
    <xdr:clientData/>
  </xdr:twoCellAnchor>
  <xdr:twoCellAnchor>
    <xdr:from>
      <xdr:col>7</xdr:col>
      <xdr:colOff>437171</xdr:colOff>
      <xdr:row>7</xdr:row>
      <xdr:rowOff>35766</xdr:rowOff>
    </xdr:from>
    <xdr:to>
      <xdr:col>12</xdr:col>
      <xdr:colOff>324161</xdr:colOff>
      <xdr:row>14</xdr:row>
      <xdr:rowOff>93252</xdr:rowOff>
    </xdr:to>
    <xdr:graphicFrame macro="">
      <xdr:nvGraphicFramePr>
        <xdr:cNvPr id="52" name="Chart 51">
          <a:extLst>
            <a:ext uri="{FF2B5EF4-FFF2-40B4-BE49-F238E27FC236}">
              <a16:creationId xmlns:a16="http://schemas.microsoft.com/office/drawing/2014/main" id="{EB6CBC79-1C5E-49F9-A29C-5155378744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8</xdr:col>
      <xdr:colOff>240526</xdr:colOff>
      <xdr:row>14</xdr:row>
      <xdr:rowOff>143195</xdr:rowOff>
    </xdr:from>
    <xdr:to>
      <xdr:col>11</xdr:col>
      <xdr:colOff>568392</xdr:colOff>
      <xdr:row>15</xdr:row>
      <xdr:rowOff>143196</xdr:rowOff>
    </xdr:to>
    <xdr:sp macro="" textlink="">
      <xdr:nvSpPr>
        <xdr:cNvPr id="53" name="TextBox 52">
          <a:extLst>
            <a:ext uri="{FF2B5EF4-FFF2-40B4-BE49-F238E27FC236}">
              <a16:creationId xmlns:a16="http://schemas.microsoft.com/office/drawing/2014/main" id="{72D89FE3-3DE4-F61A-E12D-ACD872591BFC}"/>
            </a:ext>
          </a:extLst>
        </xdr:cNvPr>
        <xdr:cNvSpPr txBox="1"/>
      </xdr:nvSpPr>
      <xdr:spPr>
        <a:xfrm>
          <a:off x="5107379" y="2692076"/>
          <a:ext cx="2152936" cy="182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solidFill>
                <a:schemeClr val="tx1"/>
              </a:solidFill>
            </a:rPr>
            <a:t>Department-Wise Referal of Patients</a:t>
          </a:r>
        </a:p>
      </xdr:txBody>
    </xdr:sp>
    <xdr:clientData/>
  </xdr:twoCellAnchor>
  <xdr:twoCellAnchor editAs="oneCell">
    <xdr:from>
      <xdr:col>5</xdr:col>
      <xdr:colOff>417413</xdr:colOff>
      <xdr:row>0</xdr:row>
      <xdr:rowOff>88811</xdr:rowOff>
    </xdr:from>
    <xdr:to>
      <xdr:col>7</xdr:col>
      <xdr:colOff>315279</xdr:colOff>
      <xdr:row>2</xdr:row>
      <xdr:rowOff>137657</xdr:rowOff>
    </xdr:to>
    <mc:AlternateContent xmlns:mc="http://schemas.openxmlformats.org/markup-compatibility/2006">
      <mc:Choice xmlns:a14="http://schemas.microsoft.com/office/drawing/2010/main" Requires="a14">
        <xdr:graphicFrame macro="">
          <xdr:nvGraphicFramePr>
            <xdr:cNvPr id="19" name="Date (Year) 1">
              <a:extLst>
                <a:ext uri="{FF2B5EF4-FFF2-40B4-BE49-F238E27FC236}">
                  <a16:creationId xmlns:a16="http://schemas.microsoft.com/office/drawing/2014/main" id="{5A0C54A4-340C-4384-B8E8-0D446BC9F992}"/>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dr:sp macro="" textlink="">
          <xdr:nvSpPr>
            <xdr:cNvPr id="0" name=""/>
            <xdr:cNvSpPr>
              <a:spLocks noTextEdit="1"/>
            </xdr:cNvSpPr>
          </xdr:nvSpPr>
          <xdr:spPr>
            <a:xfrm>
              <a:off x="3459196" y="88811"/>
              <a:ext cx="1114580" cy="4129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76200</xdr:colOff>
      <xdr:row>0</xdr:row>
      <xdr:rowOff>76200</xdr:rowOff>
    </xdr:from>
    <xdr:to>
      <xdr:col>18</xdr:col>
      <xdr:colOff>12700</xdr:colOff>
      <xdr:row>20</xdr:row>
      <xdr:rowOff>69850</xdr:rowOff>
    </xdr:to>
    <xdr:graphicFrame macro="">
      <xdr:nvGraphicFramePr>
        <xdr:cNvPr id="2" name="Chart 1">
          <a:extLst>
            <a:ext uri="{FF2B5EF4-FFF2-40B4-BE49-F238E27FC236}">
              <a16:creationId xmlns:a16="http://schemas.microsoft.com/office/drawing/2014/main" id="{9F1E8BF7-B1F6-42CB-A2D4-BF962B9FC1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336550</xdr:colOff>
      <xdr:row>0</xdr:row>
      <xdr:rowOff>76200</xdr:rowOff>
    </xdr:from>
    <xdr:to>
      <xdr:col>1</xdr:col>
      <xdr:colOff>228600</xdr:colOff>
      <xdr:row>3</xdr:row>
      <xdr:rowOff>25400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32AB77A4-C22B-BF1C-7601-42D42E4238F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36550" y="76200"/>
          <a:ext cx="501650" cy="5016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31750</xdr:colOff>
      <xdr:row>0</xdr:row>
      <xdr:rowOff>31750</xdr:rowOff>
    </xdr:from>
    <xdr:to>
      <xdr:col>18</xdr:col>
      <xdr:colOff>266700</xdr:colOff>
      <xdr:row>21</xdr:row>
      <xdr:rowOff>31750</xdr:rowOff>
    </xdr:to>
    <xdr:graphicFrame macro="">
      <xdr:nvGraphicFramePr>
        <xdr:cNvPr id="2" name="Chart 1">
          <a:extLst>
            <a:ext uri="{FF2B5EF4-FFF2-40B4-BE49-F238E27FC236}">
              <a16:creationId xmlns:a16="http://schemas.microsoft.com/office/drawing/2014/main" id="{B3AA7DCA-29E5-4C4A-BD6F-FC56812545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0.03739</cdr:x>
      <cdr:y>0.00493</cdr:y>
    </cdr:from>
    <cdr:to>
      <cdr:x>0.08327</cdr:x>
      <cdr:y>0.12479</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35E5B1B1-2652-DFF9-3EE9-A3B7057302D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419100" y="19050"/>
          <a:ext cx="514119" cy="463550"/>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0</xdr:col>
      <xdr:colOff>44450</xdr:colOff>
      <xdr:row>0</xdr:row>
      <xdr:rowOff>50800</xdr:rowOff>
    </xdr:from>
    <xdr:to>
      <xdr:col>18</xdr:col>
      <xdr:colOff>279400</xdr:colOff>
      <xdr:row>20</xdr:row>
      <xdr:rowOff>146050</xdr:rowOff>
    </xdr:to>
    <xdr:graphicFrame macro="">
      <xdr:nvGraphicFramePr>
        <xdr:cNvPr id="2" name="Chart 1">
          <a:extLst>
            <a:ext uri="{FF2B5EF4-FFF2-40B4-BE49-F238E27FC236}">
              <a16:creationId xmlns:a16="http://schemas.microsoft.com/office/drawing/2014/main" id="{C37BB02E-4B63-4F6C-9268-948C876EB3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0.05382</cdr:x>
      <cdr:y>0.01849</cdr:y>
    </cdr:from>
    <cdr:to>
      <cdr:x>0.09235</cdr:x>
      <cdr:y>0.13277</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1436F30-9C14-71F0-2CFE-421558EE217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603250" y="69850"/>
          <a:ext cx="431800" cy="43180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Sharan" refreshedDate="46217.554923958334" backgroundQuery="1" createdVersion="8" refreshedVersion="8" minRefreshableVersion="3" recordCount="0" supportSubquery="1" supportAdvancedDrill="1" xr:uid="{D535F2AB-3058-4EF1-8CD9-CCAC30332DEF}">
  <cacheSource type="external" connectionId="3"/>
  <cacheFields count="4">
    <cacheField name="[Calendar].[Date (Month)].[Date (Month)]" caption="Date (Month)" numFmtId="0" hierarchy="1" level="1">
      <sharedItems count="1">
        <s v="May"/>
      </sharedItems>
    </cacheField>
    <cacheField name="[Calendar].[Date].[Date]" caption="Date" numFmtId="0" level="1">
      <sharedItems containsSemiMixedTypes="0" containsNonDate="0" containsDate="1" containsString="0" minDate="2023-05-01T00:00:00" maxDate="2024-06-01T00:00:00" count="62">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sharedItems>
    </cacheField>
    <cacheField name="[Calendar].[Date (Quarter)].[Date (Quarter)]" caption="Date (Quarter)" numFmtId="0" hierarchy="4" level="1">
      <sharedItems count="1">
        <s v="Qtr2"/>
      </sharedItems>
    </cacheField>
    <cacheField name="[Calendar].[Date (Year)].[Date (Year)]" caption="Date (Year)" numFmtId="0" hierarchy="3" level="1">
      <sharedItems count="1">
        <s v="2024"/>
      </sharedItems>
    </cacheField>
  </cacheFields>
  <cacheHierarchies count="41">
    <cacheHierarchy uniqueName="[Calendar].[Date]" caption="Date" attribute="1" time="1" defaultMemberUniqueName="[Calendar].[Date].[All]" allUniqueName="[Calendar].[Date].[All]" dimensionUniqueName="[Calendar]" displayFolder="" count="2" memberValueDatatype="7" unbalanced="0">
      <fieldsUsage count="2">
        <fieldUsage x="-1"/>
        <fieldUsage x="1"/>
      </fieldsUsage>
    </cacheHierarchy>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Calendar].[Date (Day)]" caption="Date (Day)" attribute="1" defaultMemberUniqueName="[Calendar].[Date (Day)].[All]" allUniqueName="[Calendar].[Date (Day)].[All]" dimensionUniqueName="[Calendar]" displayFolder="" count="2"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2"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Date (Day Index)]" caption="Date (Day Index)" attribute="1" defaultMemberUniqueName="[Calendar].[Date (Day Index)].[All]" allUniqueName="[Calendar].[Date (Day Index)].[All]" dimensionUniqueName="[Calendar]" displayFolder="" count="2" memberValueDatatype="5" unbalanced="0" hidden="1"/>
    <cacheHierarchy uniqueName="[Calendar].[Date (Month Index)]" caption="Date (Month Index)" attribute="1" defaultMemberUniqueName="[Calendar].[Date (Month Index)].[All]" allUniqueName="[Calendar].[Date (Month Index)].[All]" dimensionUniqueName="[Calendar]"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Day)]" caption="Count of Date (Day)" measure="1" displayFolder="" measureGroup="Calendar" count="0" hidden="1">
      <extLst>
        <ext xmlns:x15="http://schemas.microsoft.com/office/spreadsheetml/2010/11/main" uri="{B97F6D7D-B522-45F9-BDA1-12C45D357490}">
          <x15:cacheHierarchy aggregatedColumn="2"/>
        </ext>
      </extLst>
    </cacheHierarchy>
    <cacheHierarchy uniqueName="[Measures].[Count of Date]" caption="Count of Date" measure="1" displayFolder="" measureGroup="Calendar" count="0" hidden="1">
      <extLst>
        <ext xmlns:x15="http://schemas.microsoft.com/office/spreadsheetml/2010/11/main" uri="{B97F6D7D-B522-45F9-BDA1-12C45D357490}">
          <x15:cacheHierarchy aggregatedColumn="0"/>
        </ext>
      </extLst>
    </cacheHierarchy>
    <cacheHierarchy uniqueName="[Measures].[Count of Date (Month)]" caption="Count of Date (Month)" measure="1" displayFolder="" measureGroup="Calendar" count="0" hidden="1">
      <extLst>
        <ext xmlns:x15="http://schemas.microsoft.com/office/spreadsheetml/2010/11/main" uri="{B97F6D7D-B522-45F9-BDA1-12C45D357490}">
          <x15:cacheHierarchy aggregatedColumn="1"/>
        </ext>
      </extLst>
    </cacheHierarchy>
    <cacheHierarchy uniqueName="[Measures].[Distinct Count of Date]" caption="Distinct Count of Date" measure="1" displayFolder="" measureGroup="Calendar" count="0" hidden="1">
      <extLst>
        <ext xmlns:x15="http://schemas.microsoft.com/office/spreadsheetml/2010/11/main" uri="{B97F6D7D-B522-45F9-BDA1-12C45D357490}">
          <x15:cacheHierarchy aggregatedColumn="0"/>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Sharan" refreshedDate="46217.554923958334" backgroundQuery="1" createdVersion="8" refreshedVersion="8" minRefreshableVersion="3" recordCount="0" supportSubquery="1" supportAdvancedDrill="1" xr:uid="{019908DB-2878-4AB6-B3DC-5F4DEFA4641B}">
  <cacheSource type="external" connectionId="3"/>
  <cacheFields count="3">
    <cacheField name="[Measures].[Distinct Count of Patient Id]" caption="Distinct Count of Patient Id" numFmtId="0" hierarchy="25" level="32767"/>
    <cacheField name="[Calendar].[Date (Month)].[Date (Month)]" caption="Date (Month)" numFmtId="0" hierarchy="1" level="1">
      <sharedItems containsSemiMixedTypes="0" containsNonDate="0" containsString="0"/>
    </cacheField>
    <cacheField name="[Calendar].[Date (Year)].[Date (Year)]" caption="Date (Year)" numFmtId="0" hierarchy="3" level="1">
      <sharedItems containsSemiMixedTypes="0" containsNonDate="0" containsString="0"/>
    </cacheField>
  </cacheFields>
  <cacheHierarchies count="41">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2"/>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Day)]" caption="Count of Date (Day)" measure="1" displayFolder="" measureGroup="Calendar" count="0" hidden="1">
      <extLst>
        <ext xmlns:x15="http://schemas.microsoft.com/office/spreadsheetml/2010/11/main" uri="{B97F6D7D-B522-45F9-BDA1-12C45D357490}">
          <x15:cacheHierarchy aggregatedColumn="2"/>
        </ext>
      </extLst>
    </cacheHierarchy>
    <cacheHierarchy uniqueName="[Measures].[Count of Date]" caption="Count of Date" measure="1" displayFolder="" measureGroup="Calendar" count="0" hidden="1">
      <extLst>
        <ext xmlns:x15="http://schemas.microsoft.com/office/spreadsheetml/2010/11/main" uri="{B97F6D7D-B522-45F9-BDA1-12C45D357490}">
          <x15:cacheHierarchy aggregatedColumn="0"/>
        </ext>
      </extLst>
    </cacheHierarchy>
    <cacheHierarchy uniqueName="[Measures].[Count of Date (Month)]" caption="Count of Date (Month)" measure="1" displayFolder="" measureGroup="Calendar" count="0" hidden="1">
      <extLst>
        <ext xmlns:x15="http://schemas.microsoft.com/office/spreadsheetml/2010/11/main" uri="{B97F6D7D-B522-45F9-BDA1-12C45D357490}">
          <x15:cacheHierarchy aggregatedColumn="1"/>
        </ext>
      </extLst>
    </cacheHierarchy>
    <cacheHierarchy uniqueName="[Measures].[Distinct Count of Date]" caption="Distinct Count of Date" measure="1" displayFolder="" measureGroup="Calendar" count="0" hidden="1">
      <extLst>
        <ext xmlns:x15="http://schemas.microsoft.com/office/spreadsheetml/2010/11/main" uri="{B97F6D7D-B522-45F9-BDA1-12C45D357490}">
          <x15:cacheHierarchy aggregatedColumn="0"/>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Sharan" refreshedDate="46217.554924421296" backgroundQuery="1" createdVersion="8" refreshedVersion="8" minRefreshableVersion="3" recordCount="0" supportSubquery="1" supportAdvancedDrill="1" xr:uid="{9E655F7E-A11C-4F9B-B62B-492CB5DE0E1E}">
  <cacheSource type="external" connectionId="3"/>
  <cacheFields count="4">
    <cacheField name="[Calendar].[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8" level="1">
      <sharedItems count="2">
        <s v="Delay"/>
        <s v="On-Time"/>
      </sharedItems>
    </cacheField>
    <cacheField name="[Measures].[Count of Patient Attend Status]" caption="Count of Patient Attend Status" numFmtId="0" hierarchy="31" level="32767"/>
    <cacheField name="[Calendar].[Date (Year)].[Date (Year)]" caption="Date (Year)" numFmtId="0" hierarchy="3" level="1">
      <sharedItems containsSemiMixedTypes="0" containsNonDate="0" containsString="0"/>
    </cacheField>
  </cacheFields>
  <cacheHierarchies count="41">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Day)]" caption="Count of Date (Day)" measure="1" displayFolder="" measureGroup="Calendar" count="0" hidden="1">
      <extLst>
        <ext xmlns:x15="http://schemas.microsoft.com/office/spreadsheetml/2010/11/main" uri="{B97F6D7D-B522-45F9-BDA1-12C45D357490}">
          <x15:cacheHierarchy aggregatedColumn="2"/>
        </ext>
      </extLst>
    </cacheHierarchy>
    <cacheHierarchy uniqueName="[Measures].[Count of Date]" caption="Count of Date" measure="1" displayFolder="" measureGroup="Calendar" count="0" hidden="1">
      <extLst>
        <ext xmlns:x15="http://schemas.microsoft.com/office/spreadsheetml/2010/11/main" uri="{B97F6D7D-B522-45F9-BDA1-12C45D357490}">
          <x15:cacheHierarchy aggregatedColumn="0"/>
        </ext>
      </extLst>
    </cacheHierarchy>
    <cacheHierarchy uniqueName="[Measures].[Count of Date (Month)]" caption="Count of Date (Month)" measure="1" displayFolder="" measureGroup="Calendar" count="0" hidden="1">
      <extLst>
        <ext xmlns:x15="http://schemas.microsoft.com/office/spreadsheetml/2010/11/main" uri="{B97F6D7D-B522-45F9-BDA1-12C45D357490}">
          <x15:cacheHierarchy aggregatedColumn="1"/>
        </ext>
      </extLst>
    </cacheHierarchy>
    <cacheHierarchy uniqueName="[Measures].[Distinct Count of Date]" caption="Distinct Count of Date" measure="1" displayFolder="" measureGroup="Calendar" count="0" hidden="1">
      <extLst>
        <ext xmlns:x15="http://schemas.microsoft.com/office/spreadsheetml/2010/11/main" uri="{B97F6D7D-B522-45F9-BDA1-12C45D357490}">
          <x15:cacheHierarchy aggregatedColumn="0"/>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Sharan" refreshedDate="46217.554924884258" backgroundQuery="1" createdVersion="8" refreshedVersion="8" minRefreshableVersion="3" recordCount="0" supportSubquery="1" supportAdvancedDrill="1" xr:uid="{4C0DAF02-C437-4D17-A379-199BE1D5A960}">
  <cacheSource type="external" connectionId="3"/>
  <cacheFields count="4">
    <cacheField name="[Calendar].[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5" level="32767"/>
    <cacheField name="[Calendar].[Date (Year)].[Date (Year)]" caption="Date (Year)" numFmtId="0" hierarchy="3" level="1">
      <sharedItems containsSemiMixedTypes="0" containsNonDate="0" containsString="0"/>
    </cacheField>
  </cacheFields>
  <cacheHierarchies count="41">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Day)]" caption="Count of Date (Day)" measure="1" displayFolder="" measureGroup="Calendar" count="0" hidden="1">
      <extLst>
        <ext xmlns:x15="http://schemas.microsoft.com/office/spreadsheetml/2010/11/main" uri="{B97F6D7D-B522-45F9-BDA1-12C45D357490}">
          <x15:cacheHierarchy aggregatedColumn="2"/>
        </ext>
      </extLst>
    </cacheHierarchy>
    <cacheHierarchy uniqueName="[Measures].[Count of Date]" caption="Count of Date" measure="1" displayFolder="" measureGroup="Calendar" count="0" hidden="1">
      <extLst>
        <ext xmlns:x15="http://schemas.microsoft.com/office/spreadsheetml/2010/11/main" uri="{B97F6D7D-B522-45F9-BDA1-12C45D357490}">
          <x15:cacheHierarchy aggregatedColumn="0"/>
        </ext>
      </extLst>
    </cacheHierarchy>
    <cacheHierarchy uniqueName="[Measures].[Count of Date (Month)]" caption="Count of Date (Month)" measure="1" displayFolder="" measureGroup="Calendar" count="0" hidden="1">
      <extLst>
        <ext xmlns:x15="http://schemas.microsoft.com/office/spreadsheetml/2010/11/main" uri="{B97F6D7D-B522-45F9-BDA1-12C45D357490}">
          <x15:cacheHierarchy aggregatedColumn="1"/>
        </ext>
      </extLst>
    </cacheHierarchy>
    <cacheHierarchy uniqueName="[Measures].[Distinct Count of Date]" caption="Distinct Count of Date" measure="1" displayFolder="" measureGroup="Calendar" count="0" hidden="1">
      <extLst>
        <ext xmlns:x15="http://schemas.microsoft.com/office/spreadsheetml/2010/11/main" uri="{B97F6D7D-B522-45F9-BDA1-12C45D357490}">
          <x15:cacheHierarchy aggregatedColumn="0"/>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Sharan" refreshedDate="46217.554925231481" backgroundQuery="1" createdVersion="8" refreshedVersion="8" minRefreshableVersion="3" recordCount="0" supportSubquery="1" supportAdvancedDrill="1" xr:uid="{0B1B680F-C05A-45D3-BFFD-EC8CA00DD922}">
  <cacheSource type="external" connectionId="3"/>
  <cacheFields count="4">
    <cacheField name="[Calendar].[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6" level="32767"/>
    <cacheField name="[Calendar].[Date (Year)].[Date (Year)]" caption="Date (Year)" numFmtId="0" hierarchy="3" level="1">
      <sharedItems containsSemiMixedTypes="0" containsNonDate="0" containsString="0"/>
    </cacheField>
  </cacheFields>
  <cacheHierarchies count="41">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Date (Day)]" caption="Count of Date (Day)" measure="1" displayFolder="" measureGroup="Calendar" count="0" hidden="1">
      <extLst>
        <ext xmlns:x15="http://schemas.microsoft.com/office/spreadsheetml/2010/11/main" uri="{B97F6D7D-B522-45F9-BDA1-12C45D357490}">
          <x15:cacheHierarchy aggregatedColumn="2"/>
        </ext>
      </extLst>
    </cacheHierarchy>
    <cacheHierarchy uniqueName="[Measures].[Count of Date]" caption="Count of Date" measure="1" displayFolder="" measureGroup="Calendar" count="0" hidden="1">
      <extLst>
        <ext xmlns:x15="http://schemas.microsoft.com/office/spreadsheetml/2010/11/main" uri="{B97F6D7D-B522-45F9-BDA1-12C45D357490}">
          <x15:cacheHierarchy aggregatedColumn="0"/>
        </ext>
      </extLst>
    </cacheHierarchy>
    <cacheHierarchy uniqueName="[Measures].[Count of Date (Month)]" caption="Count of Date (Month)" measure="1" displayFolder="" measureGroup="Calendar" count="0" hidden="1">
      <extLst>
        <ext xmlns:x15="http://schemas.microsoft.com/office/spreadsheetml/2010/11/main" uri="{B97F6D7D-B522-45F9-BDA1-12C45D357490}">
          <x15:cacheHierarchy aggregatedColumn="1"/>
        </ext>
      </extLst>
    </cacheHierarchy>
    <cacheHierarchy uniqueName="[Measures].[Distinct Count of Date]" caption="Distinct Count of Date" measure="1" displayFolder="" measureGroup="Calendar" count="0" hidden="1">
      <extLst>
        <ext xmlns:x15="http://schemas.microsoft.com/office/spreadsheetml/2010/11/main" uri="{B97F6D7D-B522-45F9-BDA1-12C45D357490}">
          <x15:cacheHierarchy aggregatedColumn="0"/>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Sharan" refreshedDate="46217.554925231481" backgroundQuery="1" createdVersion="8" refreshedVersion="8" minRefreshableVersion="3" recordCount="0" supportSubquery="1" supportAdvancedDrill="1" xr:uid="{52667D09-7537-4ED2-87D5-2759F18F8B12}">
  <cacheSource type="external" connectionId="3"/>
  <cacheFields count="3">
    <cacheField name="[Measures].[Average of Patient Waittime]" caption="Average of Patient Waittime" numFmtId="0" hierarchy="27" level="32767"/>
    <cacheField name="[Calendar].[Date (Month)].[Date (Month)]" caption="Date (Month)" numFmtId="0" hierarchy="1" level="1">
      <sharedItems containsSemiMixedTypes="0" containsNonDate="0" containsString="0"/>
    </cacheField>
    <cacheField name="[Calendar].[Date (Year)].[Date (Year)]" caption="Date (Year)" numFmtId="0" hierarchy="3" level="1">
      <sharedItems containsSemiMixedTypes="0" containsNonDate="0" containsString="0"/>
    </cacheField>
  </cacheFields>
  <cacheHierarchies count="41">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2"/>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Day)]" caption="Count of Date (Day)" measure="1" displayFolder="" measureGroup="Calendar" count="0" hidden="1">
      <extLst>
        <ext xmlns:x15="http://schemas.microsoft.com/office/spreadsheetml/2010/11/main" uri="{B97F6D7D-B522-45F9-BDA1-12C45D357490}">
          <x15:cacheHierarchy aggregatedColumn="2"/>
        </ext>
      </extLst>
    </cacheHierarchy>
    <cacheHierarchy uniqueName="[Measures].[Count of Date]" caption="Count of Date" measure="1" displayFolder="" measureGroup="Calendar" count="0" hidden="1">
      <extLst>
        <ext xmlns:x15="http://schemas.microsoft.com/office/spreadsheetml/2010/11/main" uri="{B97F6D7D-B522-45F9-BDA1-12C45D357490}">
          <x15:cacheHierarchy aggregatedColumn="0"/>
        </ext>
      </extLst>
    </cacheHierarchy>
    <cacheHierarchy uniqueName="[Measures].[Count of Date (Month)]" caption="Count of Date (Month)" measure="1" displayFolder="" measureGroup="Calendar" count="0" hidden="1">
      <extLst>
        <ext xmlns:x15="http://schemas.microsoft.com/office/spreadsheetml/2010/11/main" uri="{B97F6D7D-B522-45F9-BDA1-12C45D357490}">
          <x15:cacheHierarchy aggregatedColumn="1"/>
        </ext>
      </extLst>
    </cacheHierarchy>
    <cacheHierarchy uniqueName="[Measures].[Distinct Count of Date]" caption="Distinct Count of Date" measure="1" displayFolder="" measureGroup="Calendar" count="0" hidden="1">
      <extLst>
        <ext xmlns:x15="http://schemas.microsoft.com/office/spreadsheetml/2010/11/main" uri="{B97F6D7D-B522-45F9-BDA1-12C45D357490}">
          <x15:cacheHierarchy aggregatedColumn="0"/>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Sharan" refreshedDate="46217.55492534722" backgroundQuery="1" createdVersion="8" refreshedVersion="8" minRefreshableVersion="3" recordCount="0" supportSubquery="1" supportAdvancedDrill="1" xr:uid="{942AF0D5-4EA7-4B97-B1DA-D8BB0BB91E6C}">
  <cacheSource type="external" connectionId="3"/>
  <cacheFields count="3">
    <cacheField name="[Measures].[Average of Patient Satisfaction Score]" caption="Average of Patient Satisfaction Score" numFmtId="0" hierarchy="29" level="32767"/>
    <cacheField name="[Calendar].[Date (Month)].[Date (Month)]" caption="Date (Month)" numFmtId="0" hierarchy="1" level="1">
      <sharedItems containsSemiMixedTypes="0" containsNonDate="0" containsString="0"/>
    </cacheField>
    <cacheField name="[Calendar].[Date (Year)].[Date (Year)]" caption="Date (Year)" numFmtId="0" hierarchy="3" level="1">
      <sharedItems containsSemiMixedTypes="0" containsNonDate="0" containsString="0"/>
    </cacheField>
  </cacheFields>
  <cacheHierarchies count="41">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2"/>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Day)]" caption="Count of Date (Day)" measure="1" displayFolder="" measureGroup="Calendar" count="0" hidden="1">
      <extLst>
        <ext xmlns:x15="http://schemas.microsoft.com/office/spreadsheetml/2010/11/main" uri="{B97F6D7D-B522-45F9-BDA1-12C45D357490}">
          <x15:cacheHierarchy aggregatedColumn="2"/>
        </ext>
      </extLst>
    </cacheHierarchy>
    <cacheHierarchy uniqueName="[Measures].[Count of Date]" caption="Count of Date" measure="1" displayFolder="" measureGroup="Calendar" count="0" hidden="1">
      <extLst>
        <ext xmlns:x15="http://schemas.microsoft.com/office/spreadsheetml/2010/11/main" uri="{B97F6D7D-B522-45F9-BDA1-12C45D357490}">
          <x15:cacheHierarchy aggregatedColumn="0"/>
        </ext>
      </extLst>
    </cacheHierarchy>
    <cacheHierarchy uniqueName="[Measures].[Count of Date (Month)]" caption="Count of Date (Month)" measure="1" displayFolder="" measureGroup="Calendar" count="0" hidden="1">
      <extLst>
        <ext xmlns:x15="http://schemas.microsoft.com/office/spreadsheetml/2010/11/main" uri="{B97F6D7D-B522-45F9-BDA1-12C45D357490}">
          <x15:cacheHierarchy aggregatedColumn="1"/>
        </ext>
      </extLst>
    </cacheHierarchy>
    <cacheHierarchy uniqueName="[Measures].[Distinct Count of Date]" caption="Distinct Count of Date" measure="1" displayFolder="" measureGroup="Calendar" count="0" hidden="1">
      <extLst>
        <ext xmlns:x15="http://schemas.microsoft.com/office/spreadsheetml/2010/11/main" uri="{B97F6D7D-B522-45F9-BDA1-12C45D357490}">
          <x15:cacheHierarchy aggregatedColumn="0"/>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Sharan" refreshedDate="46217.554925810182" backgroundQuery="1" createdVersion="8" refreshedVersion="8" minRefreshableVersion="3" recordCount="0" supportSubquery="1" supportAdvancedDrill="1" xr:uid="{4CA97F5F-ACEE-4D8B-8525-51D754382111}">
  <cacheSource type="external" connectionId="3"/>
  <cacheFields count="4">
    <cacheField name="[Measures].[Distinct Count of Patient Id]" caption="Distinct Count of Patient Id" numFmtId="0" hierarchy="25" level="32767"/>
    <cacheField name="[Calendar].[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Date (Month)].[Date (Month)]" caption="Date (Month)" numFmtId="0" hierarchy="1" level="1">
      <sharedItems containsSemiMixedTypes="0" containsNonDate="0" containsString="0"/>
    </cacheField>
    <cacheField name="[Calendar].[Date (Year)].[Date (Year)]" caption="Date (Year)" numFmtId="0" hierarchy="3" level="1">
      <sharedItems containsSemiMixedTypes="0" containsNonDate="0" containsString="0"/>
    </cacheField>
  </cacheFields>
  <cacheHierarchies count="41">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2"/>
      </fieldsUsage>
    </cacheHierarchy>
    <cacheHierarchy uniqueName="[Calendar].[Date (Day)]" caption="Date (Day)" attribute="1" defaultMemberUniqueName="[Calendar].[Date (Day)].[All]" allUniqueName="[Calendar].[Date (Day)].[All]" dimensionUniqueName="[Calendar]" displayFolder="" count="2" memberValueDatatype="130" unbalanced="0">
      <fieldsUsage count="2">
        <fieldUsage x="-1"/>
        <fieldUsage x="1"/>
      </fieldsUsage>
    </cacheHierarchy>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Day)]" caption="Count of Date (Day)" measure="1" displayFolder="" measureGroup="Calendar" count="0" hidden="1">
      <extLst>
        <ext xmlns:x15="http://schemas.microsoft.com/office/spreadsheetml/2010/11/main" uri="{B97F6D7D-B522-45F9-BDA1-12C45D357490}">
          <x15:cacheHierarchy aggregatedColumn="2"/>
        </ext>
      </extLst>
    </cacheHierarchy>
    <cacheHierarchy uniqueName="[Measures].[Count of Date]" caption="Count of Date" measure="1" displayFolder="" measureGroup="Calendar" count="0" hidden="1">
      <extLst>
        <ext xmlns:x15="http://schemas.microsoft.com/office/spreadsheetml/2010/11/main" uri="{B97F6D7D-B522-45F9-BDA1-12C45D357490}">
          <x15:cacheHierarchy aggregatedColumn="0"/>
        </ext>
      </extLst>
    </cacheHierarchy>
    <cacheHierarchy uniqueName="[Measures].[Count of Date (Month)]" caption="Count of Date (Month)" measure="1" displayFolder="" measureGroup="Calendar" count="0" hidden="1">
      <extLst>
        <ext xmlns:x15="http://schemas.microsoft.com/office/spreadsheetml/2010/11/main" uri="{B97F6D7D-B522-45F9-BDA1-12C45D357490}">
          <x15:cacheHierarchy aggregatedColumn="1"/>
        </ext>
      </extLst>
    </cacheHierarchy>
    <cacheHierarchy uniqueName="[Measures].[Distinct Count of Date]" caption="Distinct Count of Date" measure="1" displayFolder="" measureGroup="Calendar" count="0" hidden="1">
      <extLst>
        <ext xmlns:x15="http://schemas.microsoft.com/office/spreadsheetml/2010/11/main" uri="{B97F6D7D-B522-45F9-BDA1-12C45D357490}">
          <x15:cacheHierarchy aggregatedColumn="0"/>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Sharan" refreshedDate="46217.554926157405" backgroundQuery="1" createdVersion="8" refreshedVersion="8" minRefreshableVersion="3" recordCount="0" supportSubquery="1" supportAdvancedDrill="1" xr:uid="{BC1111EE-AD0D-4AB2-AFDF-2B39464F6533}">
  <cacheSource type="external" connectionId="3"/>
  <cacheFields count="4">
    <cacheField name="[Measures].[Average of Patient Waittime]" caption="Average of Patient Waittime" numFmtId="0" hierarchy="27" level="32767"/>
    <cacheField name="[Calendar].[Date (Month)].[Date (Month)]" caption="Date (Month)" numFmtId="0" hierarchy="1" level="1">
      <sharedItems containsSemiMixedTypes="0" containsNonDate="0" containsString="0"/>
    </cacheField>
    <cacheField name="[Calendar].[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Date (Year)].[Date (Year)]" caption="Date (Year)" numFmtId="0" hierarchy="3" level="1">
      <sharedItems containsSemiMixedTypes="0" containsNonDate="0" containsString="0"/>
    </cacheField>
  </cacheFields>
  <cacheHierarchies count="41">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Calendar].[Date (Day)]" caption="Date (Day)" attribute="1" defaultMemberUniqueName="[Calendar].[Date (Day)].[All]" allUniqueName="[Calendar].[Date (Day)].[All]" dimensionUniqueName="[Calendar]" displayFolder="" count="2" memberValueDatatype="130" unbalanced="0">
      <fieldsUsage count="2">
        <fieldUsage x="-1"/>
        <fieldUsage x="2"/>
      </fieldsUsage>
    </cacheHierarchy>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Day)]" caption="Count of Date (Day)" measure="1" displayFolder="" measureGroup="Calendar" count="0" hidden="1">
      <extLst>
        <ext xmlns:x15="http://schemas.microsoft.com/office/spreadsheetml/2010/11/main" uri="{B97F6D7D-B522-45F9-BDA1-12C45D357490}">
          <x15:cacheHierarchy aggregatedColumn="2"/>
        </ext>
      </extLst>
    </cacheHierarchy>
    <cacheHierarchy uniqueName="[Measures].[Count of Date]" caption="Count of Date" measure="1" displayFolder="" measureGroup="Calendar" count="0" hidden="1">
      <extLst>
        <ext xmlns:x15="http://schemas.microsoft.com/office/spreadsheetml/2010/11/main" uri="{B97F6D7D-B522-45F9-BDA1-12C45D357490}">
          <x15:cacheHierarchy aggregatedColumn="0"/>
        </ext>
      </extLst>
    </cacheHierarchy>
    <cacheHierarchy uniqueName="[Measures].[Count of Date (Month)]" caption="Count of Date (Month)" measure="1" displayFolder="" measureGroup="Calendar" count="0" hidden="1">
      <extLst>
        <ext xmlns:x15="http://schemas.microsoft.com/office/spreadsheetml/2010/11/main" uri="{B97F6D7D-B522-45F9-BDA1-12C45D357490}">
          <x15:cacheHierarchy aggregatedColumn="1"/>
        </ext>
      </extLst>
    </cacheHierarchy>
    <cacheHierarchy uniqueName="[Measures].[Distinct Count of Date]" caption="Distinct Count of Date" measure="1" displayFolder="" measureGroup="Calendar" count="0" hidden="1">
      <extLst>
        <ext xmlns:x15="http://schemas.microsoft.com/office/spreadsheetml/2010/11/main" uri="{B97F6D7D-B522-45F9-BDA1-12C45D357490}">
          <x15:cacheHierarchy aggregatedColumn="0"/>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Sharan" refreshedDate="46217.554926504628" backgroundQuery="1" createdVersion="8" refreshedVersion="8" minRefreshableVersion="3" recordCount="0" supportSubquery="1" supportAdvancedDrill="1" xr:uid="{6FF3F4EC-E6D7-4ADC-A651-04A1AE51DA22}">
  <cacheSource type="external" connectionId="3"/>
  <cacheFields count="4">
    <cacheField name="[Measures].[Average of Patient Satisfaction Score]" caption="Average of Patient Satisfaction Score" numFmtId="0" hierarchy="29" level="32767"/>
    <cacheField name="[Calendar].[Date (Month)].[Date (Month)]" caption="Date (Month)" numFmtId="0" hierarchy="1" level="1">
      <sharedItems containsSemiMixedTypes="0" containsNonDate="0" containsString="0"/>
    </cacheField>
    <cacheField name="[Calendar].[Date (Day)].[Date (Day)]" caption="Date (Day)" numFmtId="0" hierarchy="2" level="1">
      <sharedItems count="27">
        <s v="2-Apr"/>
        <s v="3-Apr"/>
        <s v="4-Apr"/>
        <s v="5-Apr"/>
        <s v="6-Apr"/>
        <s v="7-Apr"/>
        <s v="8-Apr"/>
        <s v="9-Apr"/>
        <s v="11-Apr"/>
        <s v="12-Apr"/>
        <s v="13-Apr"/>
        <s v="14-Apr"/>
        <s v="15-Apr"/>
        <s v="16-Apr"/>
        <s v="17-Apr"/>
        <s v="18-Apr"/>
        <s v="19-Apr"/>
        <s v="20-Apr"/>
        <s v="22-Apr"/>
        <s v="23-Apr"/>
        <s v="24-Apr"/>
        <s v="25-Apr"/>
        <s v="26-Apr"/>
        <s v="27-Apr"/>
        <s v="28-Apr"/>
        <s v="29-Apr"/>
        <s v="30-Apr"/>
      </sharedItems>
    </cacheField>
    <cacheField name="[Calendar].[Date (Year)].[Date (Year)]" caption="Date (Year)" numFmtId="0" hierarchy="3" level="1">
      <sharedItems containsSemiMixedTypes="0" containsNonDate="0" containsString="0"/>
    </cacheField>
  </cacheFields>
  <cacheHierarchies count="41">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Calendar].[Date (Day)]" caption="Date (Day)" attribute="1" defaultMemberUniqueName="[Calendar].[Date (Day)].[All]" allUniqueName="[Calendar].[Date (Day)].[All]" dimensionUniqueName="[Calendar]" displayFolder="" count="2" memberValueDatatype="130" unbalanced="0">
      <fieldsUsage count="2">
        <fieldUsage x="-1"/>
        <fieldUsage x="2"/>
      </fieldsUsage>
    </cacheHierarchy>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Day)]" caption="Count of Date (Day)" measure="1" displayFolder="" measureGroup="Calendar" count="0" hidden="1">
      <extLst>
        <ext xmlns:x15="http://schemas.microsoft.com/office/spreadsheetml/2010/11/main" uri="{B97F6D7D-B522-45F9-BDA1-12C45D357490}">
          <x15:cacheHierarchy aggregatedColumn="2"/>
        </ext>
      </extLst>
    </cacheHierarchy>
    <cacheHierarchy uniqueName="[Measures].[Count of Date]" caption="Count of Date" measure="1" displayFolder="" measureGroup="Calendar" count="0" hidden="1">
      <extLst>
        <ext xmlns:x15="http://schemas.microsoft.com/office/spreadsheetml/2010/11/main" uri="{B97F6D7D-B522-45F9-BDA1-12C45D357490}">
          <x15:cacheHierarchy aggregatedColumn="0"/>
        </ext>
      </extLst>
    </cacheHierarchy>
    <cacheHierarchy uniqueName="[Measures].[Count of Date (Month)]" caption="Count of Date (Month)" measure="1" displayFolder="" measureGroup="Calendar" count="0" hidden="1">
      <extLst>
        <ext xmlns:x15="http://schemas.microsoft.com/office/spreadsheetml/2010/11/main" uri="{B97F6D7D-B522-45F9-BDA1-12C45D357490}">
          <x15:cacheHierarchy aggregatedColumn="1"/>
        </ext>
      </extLst>
    </cacheHierarchy>
    <cacheHierarchy uniqueName="[Measures].[Distinct Count of Date]" caption="Distinct Count of Date" measure="1" displayFolder="" measureGroup="Calendar" count="0" hidden="1">
      <extLst>
        <ext xmlns:x15="http://schemas.microsoft.com/office/spreadsheetml/2010/11/main" uri="{B97F6D7D-B522-45F9-BDA1-12C45D357490}">
          <x15:cacheHierarchy aggregatedColumn="0"/>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Sharan" refreshedDate="46217.55492696759" backgroundQuery="1" createdVersion="8" refreshedVersion="8" minRefreshableVersion="3" recordCount="0" supportSubquery="1" supportAdvancedDrill="1" xr:uid="{7E0466CB-B3FE-4BB6-A91C-401BD21C39E7}">
  <cacheSource type="external" connectionId="3"/>
  <cacheFields count="5">
    <cacheField name="[Calendar].[Date (Month)].[Date (Month)]" caption="Date (Month)" numFmtId="0" hierarchy="1" level="1">
      <sharedItems containsSemiMixedTypes="0" containsNonDate="0" containsString="0"/>
    </cacheField>
    <cacheField name="[Measures].[Count of Patient Admission Flag]" caption="Count of Patient Admission Flag" numFmtId="0" hierarchy="33" level="32767"/>
    <cacheField name="[Hospital Emergency Room Data].[Patient Admission Flag].[Patient Admission Flag]" caption="Patient Admission Flag" numFmtId="0" hierarchy="13" level="1">
      <sharedItems count="2">
        <s v="Admitted"/>
        <s v="Not Admitted"/>
      </sharedItems>
    </cacheField>
    <cacheField name="[Calendar].[Date (Year)].[Date (Year)]" caption="Date (Year)" numFmtId="0" hierarchy="3" level="1">
      <sharedItems containsSemiMixedTypes="0" containsNonDate="0" containsString="0"/>
    </cacheField>
    <cacheField name="Unsupported0" numFmtId="0" hierarchy="41" level="32767">
      <extLst>
        <ext xmlns:x14="http://schemas.microsoft.com/office/spreadsheetml/2009/9/main" uri="{63CAB8AC-B538-458d-9737-405883B0398D}">
          <x14:cacheField ignore="1"/>
        </ext>
      </extLst>
    </cacheField>
  </cacheFields>
  <cacheHierarchies count="42">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Day)]" caption="Count of Date (Day)" measure="1" displayFolder="" measureGroup="Calendar" count="0" hidden="1">
      <extLst>
        <ext xmlns:x15="http://schemas.microsoft.com/office/spreadsheetml/2010/11/main" uri="{B97F6D7D-B522-45F9-BDA1-12C45D357490}">
          <x15:cacheHierarchy aggregatedColumn="2"/>
        </ext>
      </extLst>
    </cacheHierarchy>
    <cacheHierarchy uniqueName="[Measures].[Count of Date]" caption="Count of Date" measure="1" displayFolder="" measureGroup="Calendar" count="0" hidden="1">
      <extLst>
        <ext xmlns:x15="http://schemas.microsoft.com/office/spreadsheetml/2010/11/main" uri="{B97F6D7D-B522-45F9-BDA1-12C45D357490}">
          <x15:cacheHierarchy aggregatedColumn="0"/>
        </ext>
      </extLst>
    </cacheHierarchy>
    <cacheHierarchy uniqueName="[Measures].[Count of Date (Month)]" caption="Count of Date (Month)" measure="1" displayFolder="" measureGroup="Calendar" count="0" hidden="1">
      <extLst>
        <ext xmlns:x15="http://schemas.microsoft.com/office/spreadsheetml/2010/11/main" uri="{B97F6D7D-B522-45F9-BDA1-12C45D357490}">
          <x15:cacheHierarchy aggregatedColumn="1"/>
        </ext>
      </extLst>
    </cacheHierarchy>
    <cacheHierarchy uniqueName="[Measures].[Distinct Count of Date]" caption="Distinct Count of Date" measure="1" displayFolder="" measureGroup="Calendar" count="0" hidden="1">
      <extLst>
        <ext xmlns:x15="http://schemas.microsoft.com/office/spreadsheetml/2010/11/main" uri="{B97F6D7D-B522-45F9-BDA1-12C45D357490}">
          <x15:cacheHierarchy aggregatedColumn="0"/>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Sharan" refreshedDate="46217.554927199075" backgroundQuery="1" createdVersion="8" refreshedVersion="8" minRefreshableVersion="3" recordCount="0" supportSubquery="1" supportAdvancedDrill="1" xr:uid="{8A574BF0-CE1A-495D-A2D5-E576A7534BA0}">
  <cacheSource type="external" connectionId="3"/>
  <cacheFields count="4">
    <cacheField name="[Calendar].[Date (Month)].[Date (Month)]" caption="Date (Month)" numFmtId="0" hierarchy="1" level="1">
      <sharedItems containsSemiMixedTypes="0" containsNonDate="0" containsString="0"/>
    </cacheField>
    <cacheField name="[Hospital Emergency Room Data].[Age Group].[Age Group]" caption="Age Group" numFmtId="0" hierarchy="17" level="1">
      <sharedItems count="8">
        <s v="0-9"/>
        <s v="10-19"/>
        <s v="20-29"/>
        <s v="30-39"/>
        <s v="40-49"/>
        <s v="50-59"/>
        <s v="60-69"/>
        <s v="70-79"/>
      </sharedItems>
    </cacheField>
    <cacheField name="[Measures].[Count of Age Group]" caption="Count of Age Group" numFmtId="0" hierarchy="34" level="32767"/>
    <cacheField name="[Calendar].[Date (Year)].[Date (Year)]" caption="Date (Year)" numFmtId="0" hierarchy="3" level="1">
      <sharedItems containsSemiMixedTypes="0" containsNonDate="0" containsString="0"/>
    </cacheField>
  </cacheFields>
  <cacheHierarchies count="41">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Day)]" caption="Count of Date (Day)" measure="1" displayFolder="" measureGroup="Calendar" count="0" hidden="1">
      <extLst>
        <ext xmlns:x15="http://schemas.microsoft.com/office/spreadsheetml/2010/11/main" uri="{B97F6D7D-B522-45F9-BDA1-12C45D357490}">
          <x15:cacheHierarchy aggregatedColumn="2"/>
        </ext>
      </extLst>
    </cacheHierarchy>
    <cacheHierarchy uniqueName="[Measures].[Count of Date]" caption="Count of Date" measure="1" displayFolder="" measureGroup="Calendar" count="0" hidden="1">
      <extLst>
        <ext xmlns:x15="http://schemas.microsoft.com/office/spreadsheetml/2010/11/main" uri="{B97F6D7D-B522-45F9-BDA1-12C45D357490}">
          <x15:cacheHierarchy aggregatedColumn="0"/>
        </ext>
      </extLst>
    </cacheHierarchy>
    <cacheHierarchy uniqueName="[Measures].[Count of Date (Month)]" caption="Count of Date (Month)" measure="1" displayFolder="" measureGroup="Calendar" count="0" hidden="1">
      <extLst>
        <ext xmlns:x15="http://schemas.microsoft.com/office/spreadsheetml/2010/11/main" uri="{B97F6D7D-B522-45F9-BDA1-12C45D357490}">
          <x15:cacheHierarchy aggregatedColumn="1"/>
        </ext>
      </extLst>
    </cacheHierarchy>
    <cacheHierarchy uniqueName="[Measures].[Distinct Count of Date]" caption="Distinct Count of Date" measure="1" displayFolder="" measureGroup="Calendar" count="0" hidden="1">
      <extLst>
        <ext xmlns:x15="http://schemas.microsoft.com/office/spreadsheetml/2010/11/main" uri="{B97F6D7D-B522-45F9-BDA1-12C45D357490}">
          <x15:cacheHierarchy aggregatedColumn="0"/>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Sharan" refreshedDate="46217.553289467593" backgroundQuery="1" createdVersion="3" refreshedVersion="8" minRefreshableVersion="3" recordCount="0" supportSubquery="1" supportAdvancedDrill="1" xr:uid="{71585377-188A-4B4C-8399-61C268EEE148}">
  <cacheSource type="external" connectionId="3">
    <extLst>
      <ext xmlns:x14="http://schemas.microsoft.com/office/spreadsheetml/2009/9/main" uri="{F057638F-6D5F-4e77-A914-E7F072B9BCA8}">
        <x14:sourceConnection name="ThisWorkbookDataModel"/>
      </ext>
    </extLst>
  </cacheSource>
  <cacheFields count="0"/>
  <cacheHierarchies count="41">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Day)]" caption="Count of Date (Day)" measure="1" displayFolder="" measureGroup="Calendar" count="0" hidden="1">
      <extLst>
        <ext xmlns:x15="http://schemas.microsoft.com/office/spreadsheetml/2010/11/main" uri="{B97F6D7D-B522-45F9-BDA1-12C45D357490}">
          <x15:cacheHierarchy aggregatedColumn="2"/>
        </ext>
      </extLst>
    </cacheHierarchy>
    <cacheHierarchy uniqueName="[Measures].[Count of Date]" caption="Count of Date" measure="1" displayFolder="" measureGroup="Calendar" count="0" hidden="1">
      <extLst>
        <ext xmlns:x15="http://schemas.microsoft.com/office/spreadsheetml/2010/11/main" uri="{B97F6D7D-B522-45F9-BDA1-12C45D357490}">
          <x15:cacheHierarchy aggregatedColumn="0"/>
        </ext>
      </extLst>
    </cacheHierarchy>
    <cacheHierarchy uniqueName="[Measures].[Count of Date (Month)]" caption="Count of Date (Month)" measure="1" displayFolder="" measureGroup="Calendar" count="0" hidden="1">
      <extLst>
        <ext xmlns:x15="http://schemas.microsoft.com/office/spreadsheetml/2010/11/main" uri="{B97F6D7D-B522-45F9-BDA1-12C45D357490}">
          <x15:cacheHierarchy aggregatedColumn="1"/>
        </ext>
      </extLst>
    </cacheHierarchy>
    <cacheHierarchy uniqueName="[Measures].[Distinct Count of Date]" caption="Distinct Count of Date" measure="1" displayFolder="" measureGroup="Calendar"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49801115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BFCA3D-EA0A-4CE6-8FE7-F8B30BAD5A33}" name="PivotTable13" cacheId="436" applyNumberFormats="0" applyBorderFormats="0" applyFontFormats="0" applyPatternFormats="0" applyAlignmentFormats="0" applyWidthHeightFormats="1" dataCaption="Values" tag="1f96cd3a-b4e6-4f5e-94bf-571c2944c7bc" updatedVersion="8" minRefreshableVersion="3" subtotalHiddenItems="1" itemPrintTitles="1" createdVersion="8" indent="0" outline="1" outlineData="1" multipleFieldFilters="0" chartFormat="92" rowHeaderCaption="Age Group">
  <location ref="P55:P57"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2">
    <format dxfId="98">
      <pivotArea dataOnly="0" labelOnly="1" outline="0" axis="axisValues" fieldPosition="0"/>
    </format>
    <format dxfId="99">
      <pivotArea outline="0" collapsedLevelsAreSubtotals="1" fieldPosition="0"/>
    </format>
  </formats>
  <pivotHierarchies count="41">
    <pivotHierarchy dragToData="1"/>
    <pivotHierarchy multipleItemSelectionAllowed="1" dragToData="1">
      <members count="1" level="1">
        <member name="[Calendar].[Date (Month)].&amp;[Ap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caption="% of Patient Admission"/>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3ABB38-165F-4F65-8A50-4EFA83833E4F}" name="PivotTable12" cacheId="448" applyNumberFormats="0" applyBorderFormats="0" applyFontFormats="0" applyPatternFormats="0" applyAlignmentFormats="0" applyWidthHeightFormats="1" dataCaption="Values" tag="1f96cd3a-b4e6-4f5e-94bf-571c2944c7bc" updatedVersion="8" minRefreshableVersion="3" subtotalHiddenItems="1" itemPrintTitles="1" createdVersion="8" indent="0" outline="1" outlineData="1" multipleFieldFilters="0" chartFormat="92" rowHeaderCaption="Age Group">
  <location ref="P43:Q52"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v="3"/>
    </i>
    <i>
      <x/>
    </i>
    <i>
      <x v="6"/>
    </i>
    <i>
      <x v="5"/>
    </i>
    <i>
      <x v="2"/>
    </i>
    <i>
      <x v="4"/>
    </i>
    <i t="grand">
      <x/>
    </i>
  </rowItems>
  <colItems count="1">
    <i/>
  </colItems>
  <dataFields count="1">
    <dataField name="Count of Department Referral" fld="2" subtotal="count" baseField="1" baseItem="0"/>
  </dataFields>
  <formats count="2">
    <format dxfId="269">
      <pivotArea dataOnly="0" labelOnly="1" outline="0" axis="axisValues" fieldPosition="0"/>
    </format>
    <format dxfId="268">
      <pivotArea outline="0" collapsedLevelsAreSubtotals="1" fieldPosition="0"/>
    </format>
  </formats>
  <chartFormats count="4">
    <chartFormat chart="87" format="0" series="1">
      <pivotArea type="data" outline="0" fieldPosition="0">
        <references count="1">
          <reference field="4294967294" count="1" selected="0">
            <x v="0"/>
          </reference>
        </references>
      </pivotArea>
    </chartFormat>
    <chartFormat chart="89" format="1" series="1">
      <pivotArea type="data" outline="0" fieldPosition="0">
        <references count="1">
          <reference field="4294967294" count="1" selected="0">
            <x v="0"/>
          </reference>
        </references>
      </pivotArea>
    </chartFormat>
    <chartFormat chart="90" format="2" series="1">
      <pivotArea type="data" outline="0" fieldPosition="0">
        <references count="1">
          <reference field="4294967294" count="1" selected="0">
            <x v="0"/>
          </reference>
        </references>
      </pivotArea>
    </chartFormat>
    <chartFormat chart="91" format="2" series="1">
      <pivotArea type="data" outline="0" fieldPosition="0">
        <references count="1">
          <reference field="4294967294" count="1" selected="0">
            <x v="0"/>
          </reference>
        </references>
      </pivotArea>
    </chartFormat>
  </chartFormats>
  <pivotHierarchies count="41">
    <pivotHierarchy dragToData="1"/>
    <pivotHierarchy multipleItemSelectionAllowed="1" dragToData="1">
      <members count="1" level="1">
        <member name="[Calendar].[Date (Month)].&amp;[Apr]"/>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caption="% of Patient Admission"/>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CCC916-F06E-42E6-981B-A3AF3E0F387D}" name="PivotTable11" cacheId="445" applyNumberFormats="0" applyBorderFormats="0" applyFontFormats="0" applyPatternFormats="0" applyAlignmentFormats="0" applyWidthHeightFormats="1" dataCaption="Values" tag="1f96cd3a-b4e6-4f5e-94bf-571c2944c7bc" updatedVersion="8" minRefreshableVersion="3" subtotalHiddenItems="1" itemPrintTitles="1" createdVersion="8" indent="0" outline="1" outlineData="1" multipleFieldFilters="0" chartFormat="87" rowHeaderCaption="Age Group">
  <location ref="P36:Q3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2">
    <format dxfId="271">
      <pivotArea dataOnly="0" labelOnly="1" outline="0" axis="axisValues" fieldPosition="0"/>
    </format>
    <format dxfId="270">
      <pivotArea outline="0" collapsedLevelsAreSubtotals="1" fieldPosition="0"/>
    </format>
  </formats>
  <chartFormats count="4">
    <chartFormat chart="80" format="0" series="1">
      <pivotArea type="data" outline="0" fieldPosition="0">
        <references count="1">
          <reference field="4294967294" count="1" selected="0">
            <x v="0"/>
          </reference>
        </references>
      </pivotArea>
    </chartFormat>
    <chartFormat chart="86" format="4" series="1">
      <pivotArea type="data" outline="0" fieldPosition="0">
        <references count="1">
          <reference field="4294967294" count="1" selected="0">
            <x v="0"/>
          </reference>
        </references>
      </pivotArea>
    </chartFormat>
    <chartFormat chart="86" format="5">
      <pivotArea type="data" outline="0" fieldPosition="0">
        <references count="2">
          <reference field="4294967294" count="1" selected="0">
            <x v="0"/>
          </reference>
          <reference field="1" count="1" selected="0">
            <x v="0"/>
          </reference>
        </references>
      </pivotArea>
    </chartFormat>
    <chartFormat chart="86" format="6">
      <pivotArea type="data" outline="0" fieldPosition="0">
        <references count="2">
          <reference field="4294967294" count="1" selected="0">
            <x v="0"/>
          </reference>
          <reference field="1" count="1" selected="0">
            <x v="1"/>
          </reference>
        </references>
      </pivotArea>
    </chartFormat>
  </chartFormats>
  <pivotHierarchies count="41">
    <pivotHierarchy dragToData="1"/>
    <pivotHierarchy multipleItemSelectionAllowed="1" dragToData="1">
      <members count="1" level="1">
        <member name="[Calendar].[Date (Month)].&amp;[Apr]"/>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caption="% of Patient Admission"/>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BAE6D2-36AC-44F7-9D02-229E9A3BA48C}" name="PivotTable5" cacheId="460" applyNumberFormats="0" applyBorderFormats="0" applyFontFormats="0" applyPatternFormats="0" applyAlignmentFormats="0" applyWidthHeightFormats="1" dataCaption="Values" tag="6250d396-0635-4144-b1fb-14b5acf51b15" updatedVersion="8" minRefreshableVersion="3" subtotalHiddenItems="1" itemPrintTitles="1" createdVersion="8" indent="0" outline="1" outlineData="1" multipleFieldFilters="0" chartFormat="9" rowHeaderCaption="Day">
  <location ref="H5:I36" firstHeaderRow="1" firstDataRow="1" firstDataCol="1"/>
  <pivotFields count="4">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s>
  <rowFields count="1">
    <field x="2"/>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0" subtotal="average" baseField="0" baseItem="0" numFmtId="2"/>
  </dataFields>
  <formats count="1">
    <format dxfId="272">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41">
    <pivotHierarchy dragToData="1"/>
    <pivotHierarchy multipleItemSelectionAllowed="1" dragToData="1">
      <members count="1" level="1">
        <member name="[Calendar].[Date (Month)].&amp;[Apr]"/>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0EF9E4-F6F1-4CA8-BCB5-04A013E28202}" name="PivotTable10" cacheId="442" applyNumberFormats="0" applyBorderFormats="0" applyFontFormats="0" applyPatternFormats="0" applyAlignmentFormats="0" applyWidthHeightFormats="1" dataCaption="Values" tag="1f96cd3a-b4e6-4f5e-94bf-571c2944c7bc" updatedVersion="8" minRefreshableVersion="3" subtotalHiddenItems="1" itemPrintTitles="1" createdVersion="8" indent="0" outline="1" outlineData="1" multipleFieldFilters="0" chartFormat="80" rowHeaderCaption="Age Group">
  <location ref="P30:Q3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2">
    <format dxfId="274">
      <pivotArea dataOnly="0" labelOnly="1" outline="0" axis="axisValues" fieldPosition="0"/>
    </format>
    <format dxfId="273">
      <pivotArea outline="0" collapsedLevelsAreSubtotals="1" fieldPosition="0"/>
    </format>
  </formats>
  <chartFormats count="3">
    <chartFormat chart="75" format="4" series="1">
      <pivotArea type="data" outline="0" fieldPosition="0">
        <references count="1">
          <reference field="4294967294" count="1" selected="0">
            <x v="0"/>
          </reference>
        </references>
      </pivotArea>
    </chartFormat>
    <chartFormat chart="75" format="5">
      <pivotArea type="data" outline="0" fieldPosition="0">
        <references count="2">
          <reference field="4294967294" count="1" selected="0">
            <x v="0"/>
          </reference>
          <reference field="1" count="1" selected="0">
            <x v="0"/>
          </reference>
        </references>
      </pivotArea>
    </chartFormat>
    <chartFormat chart="75" format="6">
      <pivotArea type="data" outline="0" fieldPosition="0">
        <references count="2">
          <reference field="4294967294" count="1" selected="0">
            <x v="0"/>
          </reference>
          <reference field="1" count="1" selected="0">
            <x v="1"/>
          </reference>
        </references>
      </pivotArea>
    </chartFormat>
  </chartFormats>
  <pivotHierarchies count="41">
    <pivotHierarchy dragToData="1"/>
    <pivotHierarchy multipleItemSelectionAllowed="1" dragToData="1">
      <members count="1" level="1">
        <member name="[Calendar].[Date (Month)].&amp;[Apr]"/>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caption="% of Patient Admission"/>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87E9FD2-C955-4C07-996D-2C4967B420D6}" name="PivotTable4" cacheId="457" applyNumberFormats="0" applyBorderFormats="0" applyFontFormats="0" applyPatternFormats="0" applyAlignmentFormats="0" applyWidthHeightFormats="1" dataCaption="Values" tag="e690c1f8-e0c5-4f5f-8489-0f92a5c1a414" updatedVersion="8" minRefreshableVersion="3" subtotalHiddenItems="1" itemPrintTitles="1" createdVersion="8" indent="0" outline="1" outlineData="1" multipleFieldFilters="0" chartFormat="62">
  <location ref="D5:E36"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24" format="2"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Hierarchies count="41">
    <pivotHierarchy dragToData="1"/>
    <pivotHierarchy multipleItemSelectionAllowed="1" dragToData="1">
      <members count="1" level="1">
        <member name="[Calendar].[Date (Month)].&amp;[Apr]"/>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150D61-993D-468E-9BA4-BDF985A8C00B}" name="PivotTable1" cacheId="439" applyNumberFormats="0" applyBorderFormats="0" applyFontFormats="0" applyPatternFormats="0" applyAlignmentFormats="0" applyWidthHeightFormats="1" dataCaption="Values" tag="fe279841-e81b-4bd8-b485-cc6eb4c34643" updatedVersion="8" minRefreshableVersion="3" subtotalHiddenItems="1" itemPrintTitles="1" createdVersion="8" indent="0" outline="1" outlineData="1" multipleFieldFilters="0">
  <location ref="A5:A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41">
    <pivotHierarchy dragToData="1"/>
    <pivotHierarchy multipleItemSelectionAllowed="1" dragToData="1">
      <members count="1" level="1">
        <member name="[Calendar].[Date (Month)].&amp;[Apr]"/>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94BA61E-5960-458C-AE62-C50CC515F098}" name="PivotTable9" cacheId="469" applyNumberFormats="0" applyBorderFormats="0" applyFontFormats="0" applyPatternFormats="0" applyAlignmentFormats="0" applyWidthHeightFormats="1" dataCaption="Values" tag="1f96cd3a-b4e6-4f5e-94bf-571c2944c7bc" updatedVersion="8" minRefreshableVersion="3" subtotalHiddenItems="1" itemPrintTitles="1" createdVersion="8" indent="0" outline="1" outlineData="1" multipleFieldFilters="0" chartFormat="68" rowHeaderCaption="Age Group">
  <location ref="P17:Q2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numFmtId="1"/>
  </dataFields>
  <formats count="2">
    <format dxfId="276">
      <pivotArea dataOnly="0" labelOnly="1" outline="0" axis="axisValues" fieldPosition="0"/>
    </format>
    <format dxfId="275">
      <pivotArea outline="0" collapsedLevelsAreSubtotals="1" fieldPosition="0"/>
    </format>
  </formats>
  <chartFormats count="1">
    <chartFormat chart="66" format="2" series="1">
      <pivotArea type="data" outline="0" fieldPosition="0">
        <references count="1">
          <reference field="4294967294" count="1" selected="0">
            <x v="0"/>
          </reference>
        </references>
      </pivotArea>
    </chartFormat>
  </chartFormats>
  <pivotHierarchies count="41">
    <pivotHierarchy dragToData="1"/>
    <pivotHierarchy multipleItemSelectionAllowed="1" dragToData="1">
      <members count="1" level="1">
        <member name="[Calendar].[Date (Month)].&amp;[Apr]"/>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caption="% of Patient Admission"/>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56AC1E8-8EB8-4DB3-9708-75C1F63F89FE}" name="PivotTable3" cacheId="454" applyNumberFormats="0" applyBorderFormats="0" applyFontFormats="0" applyPatternFormats="0" applyAlignmentFormats="0" applyWidthHeightFormats="1" dataCaption="Values" tag="1f96cd3a-b4e6-4f5e-94bf-571c2944c7bc" updatedVersion="8" minRefreshableVersion="3" subtotalHiddenItems="1" itemPrintTitles="1" createdVersion="8" indent="0" outline="1" outlineData="1" multipleFieldFilters="0">
  <location ref="A15:A1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277">
      <pivotArea outline="0" collapsedLevelsAreSubtotals="1" fieldPosition="0"/>
    </format>
  </formats>
  <pivotHierarchies count="41">
    <pivotHierarchy dragToData="1"/>
    <pivotHierarchy multipleItemSelectionAllowed="1" dragToData="1">
      <members count="1" level="1">
        <member name="[Calendar].[Date (Month)].&amp;[Apr]"/>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8F9BDC1-ADA9-4FB9-852D-4858EC3E2237}" name="PivotTable8" cacheId="466" applyNumberFormats="0" applyBorderFormats="0" applyFontFormats="0" applyPatternFormats="0" applyAlignmentFormats="0" applyWidthHeightFormats="1" dataCaption="Values" tag="1f96cd3a-b4e6-4f5e-94bf-571c2944c7bc" updatedVersion="8" minRefreshableVersion="3" subtotalHiddenItems="1" itemPrintTitles="1" createdVersion="8" indent="0" outline="1" outlineData="1" multipleFieldFilters="0" chartFormat="62" rowHeaderCaption="Admisssion Status">
  <location ref="P5:R8"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 of Patient Admission"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279">
      <pivotArea outline="0" collapsedLevelsAreSubtotals="1" fieldPosition="0"/>
    </format>
    <format dxfId="278">
      <pivotArea outline="0" fieldPosition="0">
        <references count="1">
          <reference field="4294967294" count="1">
            <x v="1"/>
          </reference>
        </references>
      </pivotArea>
    </format>
  </formats>
  <chartFormats count="4">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2" count="1" selected="0">
            <x v="0"/>
          </reference>
        </references>
      </pivotArea>
    </chartFormat>
    <chartFormat chart="8" format="14">
      <pivotArea type="data" outline="0" fieldPosition="0">
        <references count="2">
          <reference field="4294967294" count="1" selected="0">
            <x v="0"/>
          </reference>
          <reference field="2" count="1" selected="0">
            <x v="1"/>
          </reference>
        </references>
      </pivotArea>
    </chartFormat>
    <chartFormat chart="8" format="15" series="1">
      <pivotArea type="data" outline="0" fieldPosition="0">
        <references count="1">
          <reference field="4294967294" count="1" selected="0">
            <x v="1"/>
          </reference>
        </references>
      </pivotArea>
    </chartFormat>
  </chartFormats>
  <pivotHierarchies count="42">
    <pivotHierarchy dragToData="1"/>
    <pivotHierarchy multipleItemSelectionAllowed="1" dragToData="1">
      <members count="1" level="1">
        <member name="[Calendar].[Date (Month)].&amp;[Apr]"/>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caption="% of Patient Admission"/>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AD2689A-9EF2-465F-9642-9D0425A246BC}" name="PivotTable2" cacheId="451" applyNumberFormats="0" applyBorderFormats="0" applyFontFormats="0" applyPatternFormats="0" applyAlignmentFormats="0" applyWidthHeightFormats="1" dataCaption="Values" tag="6250d396-0635-4144-b1fb-14b5acf51b15" updatedVersion="8" minRefreshableVersion="3" subtotalHiddenItems="1" itemPrintTitles="1" createdVersion="8" indent="0" outline="1" outlineData="1" multipleFieldFilters="0">
  <location ref="A10:A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280">
      <pivotArea outline="0" collapsedLevelsAreSubtotals="1" fieldPosition="0"/>
    </format>
  </formats>
  <pivotHierarchies count="41">
    <pivotHierarchy dragToData="1"/>
    <pivotHierarchy multipleItemSelectionAllowed="1" dragToData="1">
      <members count="1" level="1">
        <member name="[Calendar].[Date (Month)].&amp;[Apr]"/>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563CF06-70C8-451A-B46B-68F2C1241CF6}" name="PivotTable6" cacheId="463" applyNumberFormats="0" applyBorderFormats="0" applyFontFormats="0" applyPatternFormats="0" applyAlignmentFormats="0" applyWidthHeightFormats="1" dataCaption="Values" tag="1f96cd3a-b4e6-4f5e-94bf-571c2944c7bc" updatedVersion="8" minRefreshableVersion="3" subtotalHiddenItems="1" itemPrintTitles="1" createdVersion="8" indent="0" outline="1" outlineData="1" multipleFieldFilters="0" chartFormat="8">
  <location ref="L5:M33" firstHeaderRow="1" firstDataRow="1" firstDataCol="1"/>
  <pivotFields count="4">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allDrilled="1" subtotalTop="0" showAll="0" dataSourceSort="1" defaultSubtotal="0" defaultAttributeDrillState="1"/>
  </pivotFields>
  <rowFields count="1">
    <field x="2"/>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Average of Patient Satisfaction Score" fld="0" subtotal="average" baseField="0" baseItem="0" numFmtId="2"/>
  </dataFields>
  <formats count="1">
    <format dxfId="281">
      <pivotArea outline="0" collapsedLevelsAreSubtotals="1" fieldPosition="0"/>
    </format>
  </formats>
  <chartFormats count="2">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41">
    <pivotHierarchy dragToData="1"/>
    <pivotHierarchy multipleItemSelectionAllowed="1" dragToData="1">
      <members count="1" level="1">
        <member name="[Calendar].[Date (Month)].&amp;[Apr]"/>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DE693F8F-1F69-4011-A94B-3E51BACD373A}" sourceName="[Calendar].[Date (Month)]">
  <pivotTables>
    <pivotTable tabId="1" name="PivotTable4"/>
    <pivotTable tabId="1" name="PivotTable1"/>
    <pivotTable tabId="1" name="PivotTable2"/>
    <pivotTable tabId="1" name="PivotTable3"/>
    <pivotTable tabId="1" name="PivotTable5"/>
    <pivotTable tabId="1" name="PivotTable6"/>
    <pivotTable tabId="1" name="PivotTable8"/>
    <pivotTable tabId="1" name="PivotTable9"/>
    <pivotTable tabId="1" name="PivotTable10"/>
    <pivotTable tabId="1" name="PivotTable11"/>
    <pivotTable tabId="1" name="PivotTable12"/>
    <pivotTable tabId="1" name="PivotTable13"/>
  </pivotTables>
  <data>
    <olap pivotCacheId="1498011158">
      <levels count="2">
        <level uniqueName="[Calendar].[Date (Month)].[(All)]" sourceCaption="(All)" count="0"/>
        <level uniqueName="[Calendar].[Date (Month)].[Date (Month)]" sourceCaption="Date (Month)" count="12">
          <ranges>
            <range startItem="0">
              <i n="[Calendar].[Date (Month)].&amp;[Jan]" c="Jan"/>
              <i n="[Calendar].[Date (Month)].&amp;[Feb]" c="Feb"/>
              <i n="[Calendar].[Date (Month)].&amp;[Mar]" c="Mar"/>
              <i n="[Calendar].[Date (Month)].&amp;[Apr]" c="Apr"/>
              <i n="[Calendar].[Date (Month)].&amp;[May]" c="May"/>
              <i n="[Calendar].[Date (Month)].&amp;[Jun]" c="Jun"/>
              <i n="[Calendar].[Date (Month)].&amp;[Jul]" c="Jul"/>
              <i n="[Calendar].[Date (Month)].&amp;[Aug]" c="Aug"/>
              <i n="[Calendar].[Date (Month)].&amp;[Sep]" c="Sep"/>
              <i n="[Calendar].[Date (Month)].&amp;[Oct]" c="Oct"/>
              <i n="[Calendar].[Date (Month)].&amp;[Nov]" c="Nov"/>
              <i n="[Calendar].[Date (Month)].&amp;[Dec]" c="Dec"/>
            </range>
          </ranges>
        </level>
      </levels>
      <selections count="1">
        <selection n="[Calendar].[Date (Month)].&amp;[Ap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D26395DF-3237-463C-889F-3766C7BB257D}" sourceName="[Calendar].[Date (Year)]">
  <pivotTables>
    <pivotTable tabId="1" name="PivotTable13"/>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8"/>
    <pivotTable tabId="1" name="PivotTable9"/>
  </pivotTables>
  <data>
    <olap pivotCacheId="1498011158">
      <levels count="2">
        <level uniqueName="[Calendar].[Date (Year)].[(All)]" sourceCaption="(All)" count="0"/>
        <level uniqueName="[Calendar].[Date (Year)].[Date (Year)]" sourceCaption="Date (Year)" count="2">
          <ranges>
            <range startItem="0">
              <i n="[Calendar].[Date (Year)].&amp;[2023]" c="2023"/>
              <i n="[Calendar].[Date (Year)].&amp;[2024]" c="2024"/>
            </range>
          </ranges>
        </level>
      </levels>
      <selections count="1">
        <selection n="[Calendar].[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C96DB4C5-F043-4FAC-9F04-10E975083D63}" cache="Slicer_Date__Year" caption="Date (Year)" columnCount="2" showCaption="0" level="1" style="My Styl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76816D61-432F-4BEE-A5ED-4E1AE66CD136}" cache="Slicer_Date__Month" caption="Date (Month)" showCaption="0" level="1" style="My Style" rowHeight="146304"/>
  <slicer name="Date (Year) 1" xr10:uid="{16A64CA3-146A-4210-9571-55E96BA4C942}" cache="Slicer_Date__Year" caption="Date (Year)" columnCount="2" showCaption="0" level="1" style="My Style" rowHeight="246888"/>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9E8B-554F-4A4A-BB4C-D106C09E9B15}">
  <dimension ref="A5:S57"/>
  <sheetViews>
    <sheetView topLeftCell="L51" zoomScale="130" zoomScaleNormal="130" workbookViewId="0">
      <selection activeCell="P55" sqref="P55"/>
    </sheetView>
  </sheetViews>
  <sheetFormatPr defaultRowHeight="14.5" x14ac:dyDescent="0.35"/>
  <cols>
    <col min="1" max="1" width="23.81640625" bestFit="1" customWidth="1"/>
    <col min="4" max="5" width="23.81640625" bestFit="1" customWidth="1"/>
    <col min="8" max="8" width="15.7265625" customWidth="1"/>
    <col min="9" max="9" width="24.81640625" bestFit="1" customWidth="1"/>
    <col min="12" max="12" width="16.90625" customWidth="1"/>
    <col min="13" max="13" width="25.6328125" customWidth="1"/>
    <col min="16" max="16" width="17.453125" customWidth="1"/>
    <col min="17" max="17" width="16.453125" customWidth="1"/>
    <col min="18" max="18" width="10.36328125" customWidth="1"/>
    <col min="19" max="19" width="17.26953125" customWidth="1"/>
  </cols>
  <sheetData>
    <row r="5" spans="1:19" x14ac:dyDescent="0.35">
      <c r="A5" t="s">
        <v>0</v>
      </c>
      <c r="D5" s="1" t="s">
        <v>3</v>
      </c>
      <c r="E5" t="s">
        <v>0</v>
      </c>
      <c r="H5" s="1" t="s">
        <v>5</v>
      </c>
      <c r="I5" t="s">
        <v>1</v>
      </c>
      <c r="L5" s="1" t="s">
        <v>3</v>
      </c>
      <c r="M5" t="s">
        <v>2</v>
      </c>
      <c r="P5" s="1" t="s">
        <v>10</v>
      </c>
      <c r="Q5" t="s">
        <v>7</v>
      </c>
      <c r="R5" t="s">
        <v>11</v>
      </c>
    </row>
    <row r="6" spans="1:19" x14ac:dyDescent="0.35">
      <c r="A6" s="12">
        <v>469</v>
      </c>
      <c r="D6" s="4" t="s">
        <v>40</v>
      </c>
      <c r="E6" s="12">
        <v>12</v>
      </c>
      <c r="H6" s="4" t="s">
        <v>40</v>
      </c>
      <c r="I6" s="3">
        <v>31.833333333333332</v>
      </c>
      <c r="L6" s="4" t="s">
        <v>41</v>
      </c>
      <c r="M6" s="3">
        <v>4.5999999999999996</v>
      </c>
      <c r="P6" s="4" t="s">
        <v>8</v>
      </c>
      <c r="Q6" s="3">
        <v>217</v>
      </c>
      <c r="R6" s="6">
        <v>0.46268656716417911</v>
      </c>
    </row>
    <row r="7" spans="1:19" x14ac:dyDescent="0.35">
      <c r="D7" s="4" t="s">
        <v>41</v>
      </c>
      <c r="E7" s="12">
        <v>19</v>
      </c>
      <c r="H7" s="4" t="s">
        <v>41</v>
      </c>
      <c r="I7" s="3">
        <v>39.368421052631582</v>
      </c>
      <c r="L7" s="4" t="s">
        <v>42</v>
      </c>
      <c r="M7" s="3">
        <v>4.5999999999999996</v>
      </c>
      <c r="P7" s="4" t="s">
        <v>9</v>
      </c>
      <c r="Q7" s="3">
        <v>252</v>
      </c>
      <c r="R7" s="6">
        <v>0.53731343283582089</v>
      </c>
    </row>
    <row r="8" spans="1:19" x14ac:dyDescent="0.35">
      <c r="D8" s="4" t="s">
        <v>42</v>
      </c>
      <c r="E8" s="12">
        <v>17</v>
      </c>
      <c r="H8" s="4" t="s">
        <v>42</v>
      </c>
      <c r="I8" s="3">
        <v>32.352941176470587</v>
      </c>
      <c r="L8" s="4" t="s">
        <v>43</v>
      </c>
      <c r="M8" s="3">
        <v>5.666666666666667</v>
      </c>
      <c r="P8" s="4" t="s">
        <v>4</v>
      </c>
      <c r="Q8" s="3">
        <v>469</v>
      </c>
      <c r="R8" s="6">
        <v>1</v>
      </c>
    </row>
    <row r="9" spans="1:19" x14ac:dyDescent="0.35">
      <c r="D9" s="4" t="s">
        <v>43</v>
      </c>
      <c r="E9" s="12">
        <v>20</v>
      </c>
      <c r="H9" s="4" t="s">
        <v>43</v>
      </c>
      <c r="I9" s="3">
        <v>34.049999999999997</v>
      </c>
      <c r="L9" s="4" t="s">
        <v>44</v>
      </c>
      <c r="M9" s="3">
        <v>3.4</v>
      </c>
    </row>
    <row r="10" spans="1:19" x14ac:dyDescent="0.35">
      <c r="A10" t="s">
        <v>1</v>
      </c>
      <c r="D10" s="4" t="s">
        <v>44</v>
      </c>
      <c r="E10" s="12">
        <v>15</v>
      </c>
      <c r="H10" s="4" t="s">
        <v>44</v>
      </c>
      <c r="I10" s="3">
        <v>31.8</v>
      </c>
      <c r="L10" s="4" t="s">
        <v>45</v>
      </c>
      <c r="M10" s="3">
        <v>4.333333333333333</v>
      </c>
    </row>
    <row r="11" spans="1:19" x14ac:dyDescent="0.35">
      <c r="A11" s="3">
        <v>35.044776119402982</v>
      </c>
      <c r="D11" s="4" t="s">
        <v>45</v>
      </c>
      <c r="E11" s="12">
        <v>17</v>
      </c>
      <c r="H11" s="4" t="s">
        <v>45</v>
      </c>
      <c r="I11" s="3">
        <v>37.823529411764703</v>
      </c>
      <c r="L11" s="4" t="s">
        <v>46</v>
      </c>
      <c r="M11" s="3">
        <v>4.4000000000000004</v>
      </c>
      <c r="P11" s="7" t="s">
        <v>12</v>
      </c>
      <c r="Q11" s="8" t="s">
        <v>13</v>
      </c>
      <c r="R11" s="9" t="s">
        <v>14</v>
      </c>
      <c r="S11" s="8"/>
    </row>
    <row r="12" spans="1:19" x14ac:dyDescent="0.35">
      <c r="D12" s="4" t="s">
        <v>46</v>
      </c>
      <c r="E12" s="12">
        <v>16</v>
      </c>
      <c r="H12" s="4" t="s">
        <v>46</v>
      </c>
      <c r="I12" s="3">
        <v>31.875</v>
      </c>
      <c r="L12" s="4" t="s">
        <v>47</v>
      </c>
      <c r="M12" s="3">
        <v>4.25</v>
      </c>
      <c r="P12" s="5" t="str">
        <f>P7</f>
        <v>Not Admitted</v>
      </c>
      <c r="Q12" s="5">
        <f t="shared" ref="Q12:R12" si="0">Q7</f>
        <v>252</v>
      </c>
      <c r="R12" s="10">
        <f t="shared" si="0"/>
        <v>0.53731343283582089</v>
      </c>
      <c r="S12" s="5"/>
    </row>
    <row r="13" spans="1:19" x14ac:dyDescent="0.35">
      <c r="D13" s="4" t="s">
        <v>47</v>
      </c>
      <c r="E13" s="12">
        <v>10</v>
      </c>
      <c r="H13" s="4" t="s">
        <v>47</v>
      </c>
      <c r="I13" s="3">
        <v>27.3</v>
      </c>
      <c r="L13" s="4" t="s">
        <v>48</v>
      </c>
      <c r="M13" s="3">
        <v>4.5999999999999996</v>
      </c>
      <c r="P13" s="10" t="str">
        <f>P6</f>
        <v>Admitted</v>
      </c>
      <c r="Q13" s="5">
        <f t="shared" ref="Q13:R13" si="1">Q6</f>
        <v>217</v>
      </c>
      <c r="R13" s="10">
        <f t="shared" si="1"/>
        <v>0.46268656716417911</v>
      </c>
      <c r="S13" s="5"/>
    </row>
    <row r="14" spans="1:19" x14ac:dyDescent="0.35">
      <c r="D14" s="4" t="s">
        <v>48</v>
      </c>
      <c r="E14" s="12">
        <v>15</v>
      </c>
      <c r="H14" s="4" t="s">
        <v>48</v>
      </c>
      <c r="I14" s="3">
        <v>31.933333333333334</v>
      </c>
      <c r="L14" s="4" t="s">
        <v>50</v>
      </c>
      <c r="M14" s="3">
        <v>2.3333333333333335</v>
      </c>
    </row>
    <row r="15" spans="1:19" x14ac:dyDescent="0.35">
      <c r="A15" t="s">
        <v>2</v>
      </c>
      <c r="D15" s="4" t="s">
        <v>49</v>
      </c>
      <c r="E15" s="12">
        <v>14</v>
      </c>
      <c r="H15" s="4" t="s">
        <v>49</v>
      </c>
      <c r="I15" s="3">
        <v>30.5</v>
      </c>
      <c r="L15" s="4" t="s">
        <v>51</v>
      </c>
      <c r="M15" s="3">
        <v>9</v>
      </c>
    </row>
    <row r="16" spans="1:19" x14ac:dyDescent="0.35">
      <c r="A16" s="3">
        <v>4.6269841269841274</v>
      </c>
      <c r="D16" s="4" t="s">
        <v>50</v>
      </c>
      <c r="E16" s="12">
        <v>16</v>
      </c>
      <c r="H16" s="4" t="s">
        <v>50</v>
      </c>
      <c r="I16" s="3">
        <v>38.0625</v>
      </c>
      <c r="L16" s="4" t="s">
        <v>52</v>
      </c>
      <c r="M16" s="3">
        <v>2.75</v>
      </c>
    </row>
    <row r="17" spans="4:17" x14ac:dyDescent="0.35">
      <c r="D17" s="4" t="s">
        <v>51</v>
      </c>
      <c r="E17" s="12">
        <v>12</v>
      </c>
      <c r="H17" s="4" t="s">
        <v>51</v>
      </c>
      <c r="I17" s="3">
        <v>36.333333333333336</v>
      </c>
      <c r="L17" s="4" t="s">
        <v>53</v>
      </c>
      <c r="M17" s="3">
        <v>6.8888888888888893</v>
      </c>
      <c r="P17" s="1" t="s">
        <v>24</v>
      </c>
      <c r="Q17" s="11" t="s">
        <v>23</v>
      </c>
    </row>
    <row r="18" spans="4:17" x14ac:dyDescent="0.35">
      <c r="D18" s="4" t="s">
        <v>52</v>
      </c>
      <c r="E18" s="12">
        <v>12</v>
      </c>
      <c r="H18" s="4" t="s">
        <v>52</v>
      </c>
      <c r="I18" s="3">
        <v>27</v>
      </c>
      <c r="L18" s="4" t="s">
        <v>54</v>
      </c>
      <c r="M18" s="3">
        <v>5</v>
      </c>
      <c r="P18" s="4" t="s">
        <v>15</v>
      </c>
      <c r="Q18" s="11">
        <v>59</v>
      </c>
    </row>
    <row r="19" spans="4:17" x14ac:dyDescent="0.35">
      <c r="D19" s="4" t="s">
        <v>53</v>
      </c>
      <c r="E19" s="12">
        <v>13</v>
      </c>
      <c r="H19" s="4" t="s">
        <v>53</v>
      </c>
      <c r="I19" s="3">
        <v>37.46153846153846</v>
      </c>
      <c r="L19" s="4" t="s">
        <v>55</v>
      </c>
      <c r="M19" s="3">
        <v>4.166666666666667</v>
      </c>
      <c r="P19" s="4" t="s">
        <v>16</v>
      </c>
      <c r="Q19" s="11">
        <v>57</v>
      </c>
    </row>
    <row r="20" spans="4:17" x14ac:dyDescent="0.35">
      <c r="D20" s="4" t="s">
        <v>54</v>
      </c>
      <c r="E20" s="12">
        <v>20</v>
      </c>
      <c r="H20" s="4" t="s">
        <v>54</v>
      </c>
      <c r="I20" s="3">
        <v>39.25</v>
      </c>
      <c r="L20" s="4" t="s">
        <v>56</v>
      </c>
      <c r="M20" s="3">
        <v>2.5</v>
      </c>
      <c r="P20" s="4" t="s">
        <v>17</v>
      </c>
      <c r="Q20" s="11">
        <v>69</v>
      </c>
    </row>
    <row r="21" spans="4:17" x14ac:dyDescent="0.35">
      <c r="D21" s="4" t="s">
        <v>55</v>
      </c>
      <c r="E21" s="12">
        <v>17</v>
      </c>
      <c r="H21" s="4" t="s">
        <v>55</v>
      </c>
      <c r="I21" s="3">
        <v>33.647058823529413</v>
      </c>
      <c r="L21" s="4" t="s">
        <v>57</v>
      </c>
      <c r="M21" s="3">
        <v>6</v>
      </c>
      <c r="P21" s="4" t="s">
        <v>18</v>
      </c>
      <c r="Q21" s="11">
        <v>62</v>
      </c>
    </row>
    <row r="22" spans="4:17" x14ac:dyDescent="0.35">
      <c r="D22" s="4" t="s">
        <v>56</v>
      </c>
      <c r="E22" s="12">
        <v>10</v>
      </c>
      <c r="H22" s="4" t="s">
        <v>56</v>
      </c>
      <c r="I22" s="3">
        <v>42.2</v>
      </c>
      <c r="L22" s="4" t="s">
        <v>58</v>
      </c>
      <c r="M22" s="3">
        <v>3.8</v>
      </c>
      <c r="P22" s="4" t="s">
        <v>19</v>
      </c>
      <c r="Q22" s="11">
        <v>54</v>
      </c>
    </row>
    <row r="23" spans="4:17" x14ac:dyDescent="0.35">
      <c r="D23" s="4" t="s">
        <v>57</v>
      </c>
      <c r="E23" s="12">
        <v>16</v>
      </c>
      <c r="H23" s="4" t="s">
        <v>57</v>
      </c>
      <c r="I23" s="3">
        <v>33.3125</v>
      </c>
      <c r="L23" s="4" t="s">
        <v>59</v>
      </c>
      <c r="M23" s="3">
        <v>3.6</v>
      </c>
      <c r="P23" s="4" t="s">
        <v>20</v>
      </c>
      <c r="Q23" s="11">
        <v>57</v>
      </c>
    </row>
    <row r="24" spans="4:17" x14ac:dyDescent="0.35">
      <c r="D24" s="4" t="s">
        <v>58</v>
      </c>
      <c r="E24" s="12">
        <v>13</v>
      </c>
      <c r="H24" s="4" t="s">
        <v>58</v>
      </c>
      <c r="I24" s="3">
        <v>25.76923076923077</v>
      </c>
      <c r="L24" s="4" t="s">
        <v>61</v>
      </c>
      <c r="M24" s="3">
        <v>5.8571428571428568</v>
      </c>
      <c r="P24" s="4" t="s">
        <v>21</v>
      </c>
      <c r="Q24" s="11">
        <v>54</v>
      </c>
    </row>
    <row r="25" spans="4:17" x14ac:dyDescent="0.35">
      <c r="D25" s="4" t="s">
        <v>59</v>
      </c>
      <c r="E25" s="12">
        <v>16</v>
      </c>
      <c r="H25" s="4" t="s">
        <v>59</v>
      </c>
      <c r="I25" s="3">
        <v>37.125</v>
      </c>
      <c r="L25" s="4" t="s">
        <v>62</v>
      </c>
      <c r="M25" s="3">
        <v>6.25</v>
      </c>
      <c r="P25" s="4" t="s">
        <v>22</v>
      </c>
      <c r="Q25" s="11">
        <v>57</v>
      </c>
    </row>
    <row r="26" spans="4:17" x14ac:dyDescent="0.35">
      <c r="D26" s="4" t="s">
        <v>60</v>
      </c>
      <c r="E26" s="12">
        <v>18</v>
      </c>
      <c r="H26" s="4" t="s">
        <v>60</v>
      </c>
      <c r="I26" s="3">
        <v>37</v>
      </c>
      <c r="L26" s="4" t="s">
        <v>63</v>
      </c>
      <c r="M26" s="3">
        <v>4.666666666666667</v>
      </c>
      <c r="P26" s="4" t="s">
        <v>4</v>
      </c>
      <c r="Q26" s="11">
        <v>469</v>
      </c>
    </row>
    <row r="27" spans="4:17" x14ac:dyDescent="0.35">
      <c r="D27" s="4" t="s">
        <v>61</v>
      </c>
      <c r="E27" s="12">
        <v>21</v>
      </c>
      <c r="H27" s="4" t="s">
        <v>61</v>
      </c>
      <c r="I27" s="3">
        <v>36.80952380952381</v>
      </c>
      <c r="L27" s="4" t="s">
        <v>64</v>
      </c>
      <c r="M27" s="3">
        <v>0</v>
      </c>
    </row>
    <row r="28" spans="4:17" x14ac:dyDescent="0.35">
      <c r="D28" s="4" t="s">
        <v>62</v>
      </c>
      <c r="E28" s="12">
        <v>15</v>
      </c>
      <c r="H28" s="4" t="s">
        <v>62</v>
      </c>
      <c r="I28" s="3">
        <v>39.799999999999997</v>
      </c>
      <c r="L28" s="4" t="s">
        <v>65</v>
      </c>
      <c r="M28" s="3">
        <v>4.666666666666667</v>
      </c>
    </row>
    <row r="29" spans="4:17" x14ac:dyDescent="0.35">
      <c r="D29" s="4" t="s">
        <v>63</v>
      </c>
      <c r="E29" s="12">
        <v>18</v>
      </c>
      <c r="H29" s="4" t="s">
        <v>63</v>
      </c>
      <c r="I29" s="3">
        <v>38</v>
      </c>
      <c r="L29" s="4" t="s">
        <v>66</v>
      </c>
      <c r="M29" s="3">
        <v>2.8</v>
      </c>
    </row>
    <row r="30" spans="4:17" x14ac:dyDescent="0.35">
      <c r="D30" s="4" t="s">
        <v>64</v>
      </c>
      <c r="E30" s="12">
        <v>15</v>
      </c>
      <c r="H30" s="4" t="s">
        <v>64</v>
      </c>
      <c r="I30" s="3">
        <v>36.133333333333333</v>
      </c>
      <c r="L30" s="4" t="s">
        <v>67</v>
      </c>
      <c r="M30" s="3">
        <v>4.2</v>
      </c>
      <c r="P30" s="1" t="s">
        <v>24</v>
      </c>
      <c r="Q30" s="11" t="s">
        <v>6</v>
      </c>
    </row>
    <row r="31" spans="4:17" x14ac:dyDescent="0.35">
      <c r="D31" s="4" t="s">
        <v>65</v>
      </c>
      <c r="E31" s="12">
        <v>18</v>
      </c>
      <c r="H31" s="4" t="s">
        <v>65</v>
      </c>
      <c r="I31" s="3">
        <v>36.555555555555557</v>
      </c>
      <c r="L31" s="4" t="s">
        <v>68</v>
      </c>
      <c r="M31" s="3">
        <v>2.5</v>
      </c>
      <c r="P31" s="4" t="s">
        <v>25</v>
      </c>
      <c r="Q31" s="11">
        <v>268</v>
      </c>
    </row>
    <row r="32" spans="4:17" x14ac:dyDescent="0.35">
      <c r="D32" s="4" t="s">
        <v>66</v>
      </c>
      <c r="E32" s="12">
        <v>19</v>
      </c>
      <c r="H32" s="4" t="s">
        <v>66</v>
      </c>
      <c r="I32" s="3">
        <v>39.210526315789473</v>
      </c>
      <c r="L32" s="4" t="s">
        <v>69</v>
      </c>
      <c r="M32" s="3">
        <v>5</v>
      </c>
      <c r="P32" s="4" t="s">
        <v>26</v>
      </c>
      <c r="Q32" s="11">
        <v>201</v>
      </c>
    </row>
    <row r="33" spans="4:17" x14ac:dyDescent="0.35">
      <c r="D33" s="4" t="s">
        <v>67</v>
      </c>
      <c r="E33" s="12">
        <v>16</v>
      </c>
      <c r="H33" s="4" t="s">
        <v>67</v>
      </c>
      <c r="I33" s="3">
        <v>31.1875</v>
      </c>
      <c r="L33" s="4" t="s">
        <v>4</v>
      </c>
      <c r="M33" s="3">
        <v>4.6269841269841274</v>
      </c>
      <c r="P33" s="4" t="s">
        <v>4</v>
      </c>
      <c r="Q33" s="11">
        <v>469</v>
      </c>
    </row>
    <row r="34" spans="4:17" x14ac:dyDescent="0.35">
      <c r="D34" s="4" t="s">
        <v>68</v>
      </c>
      <c r="E34" s="12">
        <v>13</v>
      </c>
      <c r="H34" s="4" t="s">
        <v>68</v>
      </c>
      <c r="I34" s="3">
        <v>35.153846153846153</v>
      </c>
    </row>
    <row r="35" spans="4:17" x14ac:dyDescent="0.35">
      <c r="D35" s="4" t="s">
        <v>69</v>
      </c>
      <c r="E35" s="12">
        <v>16</v>
      </c>
      <c r="H35" s="4" t="s">
        <v>69</v>
      </c>
      <c r="I35" s="3">
        <v>34.25</v>
      </c>
    </row>
    <row r="36" spans="4:17" x14ac:dyDescent="0.35">
      <c r="D36" s="4" t="s">
        <v>4</v>
      </c>
      <c r="E36" s="12">
        <v>469</v>
      </c>
      <c r="H36" s="4" t="s">
        <v>4</v>
      </c>
      <c r="I36" s="3">
        <v>35.044776119402982</v>
      </c>
      <c r="P36" s="1" t="s">
        <v>24</v>
      </c>
      <c r="Q36" s="11" t="s">
        <v>29</v>
      </c>
    </row>
    <row r="37" spans="4:17" x14ac:dyDescent="0.35">
      <c r="P37" s="4" t="s">
        <v>27</v>
      </c>
      <c r="Q37" s="11">
        <v>241</v>
      </c>
    </row>
    <row r="38" spans="4:17" x14ac:dyDescent="0.35">
      <c r="P38" s="4" t="s">
        <v>28</v>
      </c>
      <c r="Q38" s="11">
        <v>228</v>
      </c>
    </row>
    <row r="39" spans="4:17" x14ac:dyDescent="0.35">
      <c r="P39" s="4" t="s">
        <v>4</v>
      </c>
      <c r="Q39" s="11">
        <v>469</v>
      </c>
    </row>
    <row r="43" spans="4:17" x14ac:dyDescent="0.35">
      <c r="P43" s="1" t="s">
        <v>24</v>
      </c>
      <c r="Q43" s="11" t="s">
        <v>38</v>
      </c>
    </row>
    <row r="44" spans="4:17" x14ac:dyDescent="0.35">
      <c r="P44" s="4" t="s">
        <v>37</v>
      </c>
      <c r="Q44" s="11">
        <v>3</v>
      </c>
    </row>
    <row r="45" spans="4:17" x14ac:dyDescent="0.35">
      <c r="P45" s="4" t="s">
        <v>31</v>
      </c>
      <c r="Q45" s="11">
        <v>8</v>
      </c>
    </row>
    <row r="46" spans="4:17" x14ac:dyDescent="0.35">
      <c r="P46" s="4" t="s">
        <v>33</v>
      </c>
      <c r="Q46" s="11">
        <v>10</v>
      </c>
    </row>
    <row r="47" spans="4:17" x14ac:dyDescent="0.35">
      <c r="P47" s="4" t="s">
        <v>30</v>
      </c>
      <c r="Q47" s="11">
        <v>13</v>
      </c>
    </row>
    <row r="48" spans="4:17" x14ac:dyDescent="0.35">
      <c r="P48" s="4" t="s">
        <v>36</v>
      </c>
      <c r="Q48" s="11">
        <v>15</v>
      </c>
    </row>
    <row r="49" spans="16:17" x14ac:dyDescent="0.35">
      <c r="P49" s="4" t="s">
        <v>35</v>
      </c>
      <c r="Q49" s="11">
        <v>44</v>
      </c>
    </row>
    <row r="50" spans="16:17" x14ac:dyDescent="0.35">
      <c r="P50" s="4" t="s">
        <v>32</v>
      </c>
      <c r="Q50" s="11">
        <v>92</v>
      </c>
    </row>
    <row r="51" spans="16:17" x14ac:dyDescent="0.35">
      <c r="P51" s="4" t="s">
        <v>34</v>
      </c>
      <c r="Q51" s="11">
        <v>284</v>
      </c>
    </row>
    <row r="52" spans="16:17" x14ac:dyDescent="0.35">
      <c r="P52" s="4" t="s">
        <v>4</v>
      </c>
      <c r="Q52" s="11">
        <v>469</v>
      </c>
    </row>
    <row r="55" spans="16:17" x14ac:dyDescent="0.35">
      <c r="P55" s="1" t="s">
        <v>24</v>
      </c>
    </row>
    <row r="56" spans="16:17" x14ac:dyDescent="0.35">
      <c r="P56" s="4" t="s">
        <v>39</v>
      </c>
    </row>
    <row r="57" spans="16:17" x14ac:dyDescent="0.35">
      <c r="P57" s="4" t="s">
        <v>4</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FEE67-FF82-4BDE-8CB2-A31FF97EBF2B}">
  <dimension ref="A1:Q45"/>
  <sheetViews>
    <sheetView tabSelected="1" zoomScale="143" zoomScaleNormal="143" workbookViewId="0">
      <selection activeCell="M17" sqref="M17"/>
    </sheetView>
  </sheetViews>
  <sheetFormatPr defaultRowHeight="14.5" x14ac:dyDescent="0.35"/>
  <sheetData>
    <row r="1" spans="1:17" x14ac:dyDescent="0.35">
      <c r="A1" s="2"/>
      <c r="B1" s="2"/>
      <c r="C1" s="2"/>
      <c r="D1" s="2"/>
      <c r="E1" s="2"/>
      <c r="F1" s="2"/>
      <c r="G1" s="2"/>
      <c r="H1" s="2"/>
      <c r="I1" s="2"/>
      <c r="J1" s="2"/>
      <c r="K1" s="2"/>
      <c r="L1" s="2"/>
      <c r="M1" s="2"/>
      <c r="N1" s="2"/>
      <c r="O1" s="2"/>
      <c r="P1" s="2"/>
      <c r="Q1" s="2"/>
    </row>
    <row r="2" spans="1:17" x14ac:dyDescent="0.35">
      <c r="A2" s="2"/>
      <c r="B2" s="2"/>
      <c r="C2" s="2"/>
      <c r="D2" s="2"/>
      <c r="E2" s="2"/>
      <c r="F2" s="2"/>
      <c r="G2" s="2"/>
      <c r="H2" s="2"/>
      <c r="I2" s="2"/>
      <c r="J2" s="2"/>
      <c r="K2" s="2"/>
      <c r="L2" s="2"/>
      <c r="M2" s="2"/>
      <c r="N2" s="2"/>
      <c r="O2" s="2"/>
      <c r="P2" s="2"/>
      <c r="Q2" s="2"/>
    </row>
    <row r="3" spans="1:17" x14ac:dyDescent="0.35">
      <c r="A3" s="2"/>
      <c r="B3" s="2"/>
      <c r="C3" s="2"/>
      <c r="D3" s="2"/>
      <c r="E3" s="2"/>
      <c r="F3" s="2"/>
      <c r="G3" s="2"/>
      <c r="H3" s="2"/>
      <c r="I3" s="2"/>
      <c r="J3" s="2"/>
      <c r="K3" s="2"/>
      <c r="L3" s="2"/>
      <c r="M3" s="2"/>
      <c r="N3" s="2"/>
      <c r="O3" s="2"/>
      <c r="P3" s="2"/>
      <c r="Q3" s="2"/>
    </row>
    <row r="4" spans="1:17" x14ac:dyDescent="0.35">
      <c r="A4" s="2"/>
      <c r="B4" s="2"/>
      <c r="C4" s="2"/>
      <c r="D4" s="2"/>
      <c r="E4" s="2"/>
      <c r="F4" s="2"/>
      <c r="G4" s="2"/>
      <c r="H4" s="2"/>
      <c r="I4" s="2"/>
      <c r="J4" s="2"/>
      <c r="K4" s="2"/>
      <c r="L4" s="2"/>
      <c r="M4" s="2"/>
      <c r="N4" s="2"/>
      <c r="O4" s="2"/>
      <c r="P4" s="2"/>
      <c r="Q4" s="2"/>
    </row>
    <row r="5" spans="1:17" x14ac:dyDescent="0.35">
      <c r="A5" s="2"/>
      <c r="B5" s="2"/>
      <c r="C5" s="2"/>
      <c r="D5" s="2"/>
      <c r="E5" s="2"/>
      <c r="F5" s="2"/>
      <c r="G5" s="2"/>
      <c r="H5" s="2"/>
      <c r="I5" s="2"/>
      <c r="J5" s="2"/>
      <c r="K5" s="2"/>
      <c r="L5" s="2"/>
      <c r="M5" s="2"/>
      <c r="N5" s="2"/>
      <c r="O5" s="2"/>
      <c r="P5" s="2"/>
      <c r="Q5" s="2"/>
    </row>
    <row r="6" spans="1:17" x14ac:dyDescent="0.35">
      <c r="A6" s="2"/>
      <c r="B6" s="2"/>
      <c r="C6" s="2"/>
      <c r="D6" s="2"/>
      <c r="E6" s="2"/>
      <c r="F6" s="2"/>
      <c r="G6" s="2"/>
      <c r="H6" s="2"/>
      <c r="I6" s="2"/>
      <c r="J6" s="2"/>
      <c r="K6" s="2"/>
      <c r="L6" s="2"/>
      <c r="M6" s="2"/>
      <c r="N6" s="2"/>
      <c r="O6" s="2"/>
      <c r="P6" s="2"/>
      <c r="Q6" s="2"/>
    </row>
    <row r="7" spans="1:17" x14ac:dyDescent="0.35">
      <c r="A7" s="2"/>
      <c r="B7" s="2"/>
      <c r="C7" s="2"/>
      <c r="D7" s="2"/>
      <c r="E7" s="2"/>
      <c r="F7" s="2"/>
      <c r="G7" s="2"/>
      <c r="H7" s="2"/>
      <c r="I7" s="2"/>
      <c r="J7" s="2"/>
      <c r="K7" s="2"/>
      <c r="L7" s="2"/>
      <c r="M7" s="2"/>
      <c r="N7" s="2"/>
      <c r="O7" s="2"/>
      <c r="P7" s="2"/>
      <c r="Q7" s="2"/>
    </row>
    <row r="8" spans="1:17" x14ac:dyDescent="0.35">
      <c r="A8" s="2"/>
      <c r="B8" s="2"/>
      <c r="C8" s="2"/>
      <c r="D8" s="2"/>
      <c r="E8" s="2"/>
      <c r="F8" s="2"/>
      <c r="G8" s="2"/>
      <c r="H8" s="2"/>
      <c r="I8" s="2"/>
      <c r="J8" s="2"/>
      <c r="K8" s="2"/>
      <c r="L8" s="2"/>
      <c r="M8" s="2"/>
      <c r="N8" s="2"/>
      <c r="O8" s="2"/>
      <c r="P8" s="2"/>
      <c r="Q8" s="2"/>
    </row>
    <row r="9" spans="1:17" x14ac:dyDescent="0.35">
      <c r="A9" s="2"/>
      <c r="B9" s="2"/>
      <c r="C9" s="2"/>
      <c r="D9" s="2"/>
      <c r="E9" s="2"/>
      <c r="F9" s="2"/>
      <c r="G9" s="2"/>
      <c r="H9" s="2"/>
      <c r="I9" s="2"/>
      <c r="J9" s="2"/>
      <c r="K9" s="2"/>
      <c r="L9" s="2"/>
      <c r="M9" s="2"/>
      <c r="N9" s="2"/>
      <c r="O9" s="2"/>
      <c r="P9" s="2"/>
      <c r="Q9" s="2"/>
    </row>
    <row r="10" spans="1:17" x14ac:dyDescent="0.35">
      <c r="A10" s="2"/>
      <c r="B10" s="2"/>
      <c r="C10" s="2"/>
      <c r="D10" s="2"/>
      <c r="E10" s="2"/>
      <c r="F10" s="2"/>
      <c r="G10" s="2"/>
      <c r="H10" s="2"/>
      <c r="I10" s="2"/>
      <c r="J10" s="2"/>
      <c r="K10" s="2"/>
      <c r="L10" s="2"/>
      <c r="M10" s="2"/>
      <c r="N10" s="2"/>
      <c r="O10" s="2"/>
      <c r="P10" s="2"/>
      <c r="Q10" s="2"/>
    </row>
    <row r="11" spans="1:17" x14ac:dyDescent="0.35">
      <c r="A11" s="2"/>
      <c r="B11" s="2"/>
      <c r="C11" s="2"/>
      <c r="D11" s="2"/>
      <c r="E11" s="2"/>
      <c r="F11" s="2"/>
      <c r="G11" s="2"/>
      <c r="H11" s="2"/>
      <c r="I11" s="2"/>
      <c r="J11" s="2"/>
      <c r="K11" s="2"/>
      <c r="L11" s="2"/>
      <c r="M11" s="2"/>
      <c r="N11" s="2"/>
      <c r="O11" s="2"/>
      <c r="P11" s="2"/>
      <c r="Q11" s="2"/>
    </row>
    <row r="12" spans="1:17" x14ac:dyDescent="0.35">
      <c r="A12" s="2"/>
      <c r="B12" s="2"/>
      <c r="C12" s="2"/>
      <c r="D12" s="2"/>
      <c r="E12" s="2"/>
      <c r="F12" s="2"/>
      <c r="G12" s="2"/>
      <c r="H12" s="2"/>
      <c r="I12" s="2"/>
      <c r="J12" s="2"/>
      <c r="K12" s="2"/>
      <c r="L12" s="2"/>
      <c r="M12" s="2"/>
      <c r="N12" s="2"/>
      <c r="O12" s="2"/>
      <c r="P12" s="2"/>
      <c r="Q12" s="2"/>
    </row>
    <row r="13" spans="1:17" x14ac:dyDescent="0.35">
      <c r="A13" s="2"/>
      <c r="B13" s="2"/>
      <c r="C13" s="2"/>
      <c r="D13" s="2"/>
      <c r="E13" s="2"/>
      <c r="F13" s="2"/>
      <c r="G13" s="2"/>
      <c r="H13" s="2"/>
      <c r="I13" s="2"/>
      <c r="J13" s="2"/>
      <c r="K13" s="2"/>
      <c r="L13" s="2"/>
      <c r="M13" s="2"/>
      <c r="N13" s="2"/>
      <c r="O13" s="2"/>
      <c r="P13" s="2"/>
      <c r="Q13" s="2"/>
    </row>
    <row r="14" spans="1:17" x14ac:dyDescent="0.35">
      <c r="A14" s="2"/>
      <c r="B14" s="2"/>
      <c r="C14" s="2"/>
      <c r="D14" s="2"/>
      <c r="E14" s="2"/>
      <c r="F14" s="2"/>
      <c r="G14" s="2"/>
      <c r="H14" s="2"/>
      <c r="I14" s="2"/>
      <c r="J14" s="2"/>
      <c r="K14" s="2"/>
      <c r="L14" s="2"/>
      <c r="M14" s="2"/>
      <c r="N14" s="2"/>
      <c r="O14" s="2"/>
      <c r="P14" s="2"/>
      <c r="Q14" s="2"/>
    </row>
    <row r="15" spans="1:17" x14ac:dyDescent="0.35">
      <c r="A15" s="2"/>
      <c r="B15" s="2"/>
      <c r="C15" s="2"/>
      <c r="D15" s="2"/>
      <c r="E15" s="2"/>
      <c r="F15" s="2"/>
      <c r="G15" s="2"/>
      <c r="H15" s="2"/>
      <c r="I15" s="2"/>
      <c r="J15" s="2"/>
      <c r="K15" s="2"/>
      <c r="L15" s="2"/>
      <c r="M15" s="2"/>
      <c r="N15" s="2"/>
      <c r="O15" s="2"/>
      <c r="P15" s="2"/>
      <c r="Q15" s="2"/>
    </row>
    <row r="16" spans="1:17" x14ac:dyDescent="0.35">
      <c r="A16" s="2"/>
      <c r="B16" s="2"/>
      <c r="C16" s="2"/>
      <c r="D16" s="2"/>
      <c r="E16" s="2"/>
      <c r="F16" s="2"/>
      <c r="G16" s="2"/>
      <c r="H16" s="2"/>
      <c r="I16" s="2"/>
      <c r="J16" s="2"/>
      <c r="K16" s="2"/>
      <c r="L16" s="2"/>
      <c r="M16" s="2"/>
      <c r="N16" s="2"/>
      <c r="O16" s="2"/>
      <c r="P16" s="2"/>
      <c r="Q16" s="2"/>
    </row>
    <row r="17" spans="1:17" x14ac:dyDescent="0.35">
      <c r="A17" s="2"/>
      <c r="B17" s="2"/>
      <c r="C17" s="2"/>
      <c r="D17" s="2"/>
      <c r="E17" s="2"/>
      <c r="F17" s="2"/>
      <c r="G17" s="2"/>
      <c r="H17" s="2"/>
      <c r="I17" s="2"/>
      <c r="J17" s="2"/>
      <c r="K17" s="2"/>
      <c r="L17" s="2"/>
      <c r="M17" s="2"/>
      <c r="N17" s="2"/>
      <c r="O17" s="2"/>
      <c r="P17" s="2"/>
      <c r="Q17" s="2"/>
    </row>
    <row r="18" spans="1:17" x14ac:dyDescent="0.35">
      <c r="A18" s="2"/>
      <c r="B18" s="2"/>
      <c r="C18" s="2"/>
      <c r="D18" s="2"/>
      <c r="E18" s="2"/>
      <c r="F18" s="2"/>
      <c r="G18" s="2"/>
      <c r="H18" s="2"/>
      <c r="I18" s="2"/>
      <c r="J18" s="2"/>
      <c r="K18" s="2"/>
      <c r="L18" s="2"/>
      <c r="M18" s="2"/>
      <c r="N18" s="2"/>
      <c r="O18" s="2"/>
      <c r="P18" s="2"/>
      <c r="Q18" s="2"/>
    </row>
    <row r="19" spans="1:17" x14ac:dyDescent="0.35">
      <c r="A19" s="2"/>
      <c r="B19" s="2"/>
      <c r="C19" s="2"/>
      <c r="D19" s="2"/>
      <c r="E19" s="2"/>
      <c r="F19" s="2"/>
      <c r="G19" s="2"/>
      <c r="H19" s="2"/>
      <c r="I19" s="2"/>
      <c r="J19" s="2"/>
      <c r="K19" s="2"/>
      <c r="L19" s="2"/>
      <c r="M19" s="2"/>
      <c r="N19" s="2"/>
      <c r="O19" s="2"/>
      <c r="P19" s="2"/>
      <c r="Q19" s="2"/>
    </row>
    <row r="20" spans="1:17" x14ac:dyDescent="0.35">
      <c r="A20" s="2"/>
      <c r="B20" s="2"/>
      <c r="C20" s="2"/>
      <c r="D20" s="2"/>
      <c r="E20" s="2"/>
      <c r="F20" s="2"/>
      <c r="G20" s="2"/>
      <c r="H20" s="2"/>
      <c r="I20" s="2"/>
      <c r="J20" s="2"/>
      <c r="K20" s="2"/>
      <c r="L20" s="2"/>
      <c r="M20" s="2"/>
      <c r="N20" s="2"/>
      <c r="O20" s="2"/>
      <c r="P20" s="2"/>
      <c r="Q20" s="2"/>
    </row>
    <row r="21" spans="1:17" x14ac:dyDescent="0.35">
      <c r="A21" s="2"/>
      <c r="B21" s="2"/>
      <c r="C21" s="2"/>
      <c r="D21" s="2"/>
      <c r="E21" s="2"/>
      <c r="F21" s="2"/>
      <c r="G21" s="2"/>
      <c r="H21" s="2"/>
      <c r="I21" s="2"/>
      <c r="J21" s="2"/>
      <c r="K21" s="2"/>
      <c r="L21" s="2"/>
      <c r="M21" s="2"/>
      <c r="N21" s="2"/>
      <c r="O21" s="2"/>
      <c r="P21" s="2"/>
      <c r="Q21" s="2"/>
    </row>
    <row r="22" spans="1:17" x14ac:dyDescent="0.35">
      <c r="A22" s="2"/>
      <c r="B22" s="2"/>
      <c r="C22" s="2"/>
      <c r="D22" s="2"/>
      <c r="E22" s="2"/>
      <c r="F22" s="2"/>
      <c r="G22" s="2"/>
      <c r="H22" s="2"/>
      <c r="I22" s="2"/>
      <c r="J22" s="2"/>
      <c r="K22" s="2"/>
      <c r="L22" s="2"/>
      <c r="M22" s="2"/>
      <c r="N22" s="2"/>
      <c r="O22" s="2"/>
      <c r="P22" s="2"/>
      <c r="Q22" s="2"/>
    </row>
    <row r="23" spans="1:17" x14ac:dyDescent="0.35">
      <c r="A23" s="2"/>
      <c r="B23" s="2"/>
      <c r="C23" s="2"/>
      <c r="D23" s="2"/>
      <c r="E23" s="2"/>
      <c r="F23" s="2"/>
      <c r="G23" s="2"/>
      <c r="H23" s="2"/>
      <c r="I23" s="2"/>
      <c r="J23" s="2"/>
      <c r="K23" s="2"/>
      <c r="L23" s="2"/>
      <c r="M23" s="2"/>
      <c r="N23" s="2"/>
      <c r="O23" s="2"/>
      <c r="P23" s="2"/>
      <c r="Q23" s="2"/>
    </row>
    <row r="24" spans="1:17" x14ac:dyDescent="0.35">
      <c r="A24" s="2"/>
      <c r="B24" s="2"/>
      <c r="C24" s="2"/>
      <c r="D24" s="2"/>
      <c r="E24" s="2"/>
      <c r="F24" s="2"/>
      <c r="G24" s="2"/>
      <c r="H24" s="2"/>
      <c r="I24" s="2"/>
      <c r="J24" s="2"/>
      <c r="K24" s="2"/>
      <c r="L24" s="2"/>
      <c r="M24" s="2"/>
      <c r="N24" s="2"/>
      <c r="O24" s="2"/>
      <c r="P24" s="2"/>
      <c r="Q24" s="2"/>
    </row>
    <row r="25" spans="1:17" x14ac:dyDescent="0.35">
      <c r="A25" s="2"/>
      <c r="B25" s="2"/>
      <c r="C25" s="2"/>
      <c r="D25" s="2"/>
      <c r="E25" s="2"/>
      <c r="F25" s="2"/>
      <c r="G25" s="2"/>
      <c r="H25" s="2"/>
      <c r="I25" s="2"/>
      <c r="J25" s="2"/>
      <c r="K25" s="2"/>
      <c r="L25" s="2"/>
      <c r="M25" s="2"/>
      <c r="N25" s="2"/>
      <c r="O25" s="2"/>
      <c r="P25" s="2"/>
      <c r="Q25" s="2"/>
    </row>
    <row r="26" spans="1:17" x14ac:dyDescent="0.35">
      <c r="A26" s="2"/>
      <c r="B26" s="2"/>
      <c r="C26" s="2"/>
      <c r="D26" s="2"/>
      <c r="E26" s="2"/>
      <c r="F26" s="2"/>
      <c r="G26" s="2"/>
      <c r="H26" s="2"/>
      <c r="I26" s="2"/>
      <c r="J26" s="2"/>
      <c r="K26" s="2"/>
      <c r="L26" s="2"/>
      <c r="M26" s="2"/>
      <c r="N26" s="2"/>
      <c r="O26" s="2"/>
      <c r="P26" s="2"/>
      <c r="Q26" s="2"/>
    </row>
    <row r="27" spans="1:17" x14ac:dyDescent="0.35">
      <c r="A27" s="2"/>
      <c r="B27" s="2"/>
      <c r="C27" s="2"/>
      <c r="D27" s="2"/>
      <c r="E27" s="2"/>
      <c r="F27" s="2"/>
      <c r="G27" s="2"/>
      <c r="H27" s="2"/>
      <c r="I27" s="2"/>
      <c r="J27" s="2"/>
      <c r="K27" s="2"/>
      <c r="L27" s="2"/>
      <c r="M27" s="2"/>
      <c r="N27" s="2"/>
      <c r="O27" s="2"/>
      <c r="P27" s="2"/>
      <c r="Q27" s="2"/>
    </row>
    <row r="28" spans="1:17" x14ac:dyDescent="0.35">
      <c r="A28" s="2"/>
      <c r="B28" s="2"/>
      <c r="C28" s="2"/>
      <c r="D28" s="2"/>
      <c r="E28" s="2"/>
      <c r="F28" s="2"/>
      <c r="G28" s="2"/>
      <c r="H28" s="2"/>
      <c r="I28" s="2"/>
      <c r="J28" s="2"/>
      <c r="K28" s="2"/>
      <c r="L28" s="2"/>
      <c r="M28" s="2"/>
      <c r="N28" s="2"/>
      <c r="O28" s="2"/>
      <c r="P28" s="2"/>
      <c r="Q28" s="2"/>
    </row>
    <row r="29" spans="1:17" x14ac:dyDescent="0.35">
      <c r="A29" s="2"/>
      <c r="B29" s="2"/>
      <c r="C29" s="2"/>
      <c r="D29" s="2"/>
      <c r="E29" s="2"/>
      <c r="F29" s="2"/>
      <c r="G29" s="2"/>
      <c r="H29" s="2"/>
      <c r="I29" s="2"/>
      <c r="J29" s="2"/>
      <c r="K29" s="2"/>
      <c r="L29" s="2"/>
      <c r="M29" s="2"/>
      <c r="N29" s="2"/>
      <c r="O29" s="2"/>
      <c r="P29" s="2"/>
      <c r="Q29" s="2"/>
    </row>
    <row r="30" spans="1:17" x14ac:dyDescent="0.35">
      <c r="A30" s="2"/>
      <c r="B30" s="2"/>
      <c r="C30" s="2"/>
      <c r="D30" s="2"/>
      <c r="E30" s="2"/>
      <c r="F30" s="2"/>
      <c r="G30" s="2"/>
      <c r="H30" s="2"/>
      <c r="I30" s="2"/>
      <c r="J30" s="2"/>
      <c r="K30" s="2"/>
      <c r="L30" s="2"/>
      <c r="M30" s="2"/>
      <c r="N30" s="2"/>
      <c r="O30" s="2"/>
      <c r="P30" s="2"/>
      <c r="Q30" s="2"/>
    </row>
    <row r="31" spans="1:17" x14ac:dyDescent="0.35">
      <c r="A31" s="2"/>
      <c r="B31" s="2"/>
      <c r="C31" s="2"/>
      <c r="D31" s="2"/>
      <c r="E31" s="2"/>
      <c r="F31" s="2"/>
      <c r="G31" s="2"/>
      <c r="H31" s="2"/>
      <c r="I31" s="2"/>
      <c r="J31" s="2"/>
      <c r="K31" s="2"/>
      <c r="L31" s="2"/>
      <c r="M31" s="2"/>
      <c r="N31" s="2"/>
      <c r="O31" s="2"/>
      <c r="P31" s="2"/>
      <c r="Q31" s="2"/>
    </row>
    <row r="32" spans="1:17" x14ac:dyDescent="0.35">
      <c r="A32" s="2"/>
      <c r="B32" s="2"/>
      <c r="C32" s="2"/>
      <c r="D32" s="2"/>
      <c r="E32" s="2"/>
      <c r="F32" s="2"/>
      <c r="G32" s="2"/>
      <c r="H32" s="2"/>
      <c r="I32" s="2"/>
      <c r="J32" s="2"/>
      <c r="K32" s="2"/>
      <c r="L32" s="2"/>
      <c r="M32" s="2"/>
      <c r="N32" s="2"/>
      <c r="O32" s="2"/>
      <c r="P32" s="2"/>
      <c r="Q32" s="2"/>
    </row>
    <row r="33" spans="1:17" x14ac:dyDescent="0.35">
      <c r="A33" s="2"/>
      <c r="B33" s="2"/>
      <c r="C33" s="2"/>
      <c r="D33" s="2"/>
      <c r="E33" s="2"/>
      <c r="F33" s="2"/>
      <c r="G33" s="2"/>
      <c r="H33" s="2"/>
      <c r="I33" s="2"/>
      <c r="J33" s="2"/>
      <c r="K33" s="2"/>
      <c r="L33" s="2"/>
      <c r="M33" s="2"/>
      <c r="N33" s="2"/>
      <c r="O33" s="2"/>
      <c r="P33" s="2"/>
      <c r="Q33" s="2"/>
    </row>
    <row r="34" spans="1:17" x14ac:dyDescent="0.35">
      <c r="A34" s="2"/>
      <c r="B34" s="2"/>
      <c r="C34" s="2"/>
      <c r="D34" s="2"/>
      <c r="E34" s="2"/>
      <c r="F34" s="2"/>
      <c r="G34" s="2"/>
      <c r="H34" s="2"/>
      <c r="I34" s="2"/>
      <c r="J34" s="2"/>
      <c r="K34" s="2"/>
      <c r="L34" s="2"/>
      <c r="M34" s="2"/>
      <c r="N34" s="2"/>
      <c r="O34" s="2"/>
      <c r="P34" s="2"/>
      <c r="Q34" s="2"/>
    </row>
    <row r="35" spans="1:17" x14ac:dyDescent="0.35">
      <c r="A35" s="2"/>
      <c r="B35" s="2"/>
      <c r="C35" s="2"/>
      <c r="D35" s="2"/>
      <c r="E35" s="2"/>
      <c r="F35" s="2"/>
      <c r="G35" s="2"/>
      <c r="H35" s="2"/>
      <c r="I35" s="2"/>
      <c r="J35" s="2"/>
      <c r="K35" s="2"/>
      <c r="L35" s="2"/>
      <c r="M35" s="2"/>
      <c r="N35" s="2"/>
      <c r="O35" s="2"/>
      <c r="P35" s="2"/>
      <c r="Q35" s="2"/>
    </row>
    <row r="36" spans="1:17" x14ac:dyDescent="0.35">
      <c r="A36" s="2"/>
      <c r="B36" s="2"/>
      <c r="C36" s="2"/>
      <c r="D36" s="2"/>
      <c r="E36" s="2"/>
      <c r="F36" s="2"/>
      <c r="G36" s="2"/>
      <c r="H36" s="2"/>
      <c r="I36" s="2"/>
      <c r="J36" s="2"/>
      <c r="K36" s="2"/>
      <c r="L36" s="2"/>
      <c r="M36" s="2"/>
      <c r="N36" s="2"/>
      <c r="O36" s="2"/>
      <c r="P36" s="2"/>
      <c r="Q36" s="2"/>
    </row>
    <row r="37" spans="1:17" x14ac:dyDescent="0.35">
      <c r="A37" s="2"/>
      <c r="B37" s="2"/>
      <c r="C37" s="2"/>
      <c r="D37" s="2"/>
      <c r="E37" s="2"/>
      <c r="F37" s="2"/>
      <c r="G37" s="2"/>
      <c r="H37" s="2"/>
      <c r="I37" s="2"/>
      <c r="J37" s="2"/>
      <c r="K37" s="2"/>
      <c r="L37" s="2"/>
      <c r="M37" s="2"/>
      <c r="N37" s="2"/>
      <c r="O37" s="2"/>
      <c r="P37" s="2"/>
      <c r="Q37" s="2"/>
    </row>
    <row r="38" spans="1:17" x14ac:dyDescent="0.35">
      <c r="A38" s="2"/>
      <c r="B38" s="2"/>
      <c r="C38" s="2"/>
      <c r="D38" s="2"/>
      <c r="E38" s="2"/>
      <c r="F38" s="2"/>
      <c r="G38" s="2"/>
      <c r="H38" s="2"/>
      <c r="I38" s="2"/>
      <c r="J38" s="2"/>
      <c r="K38" s="2"/>
      <c r="L38" s="2"/>
      <c r="M38" s="2"/>
      <c r="N38" s="2"/>
      <c r="O38" s="2"/>
      <c r="P38" s="2"/>
      <c r="Q38" s="2"/>
    </row>
    <row r="39" spans="1:17" x14ac:dyDescent="0.35">
      <c r="A39" s="2"/>
      <c r="B39" s="2"/>
      <c r="C39" s="2"/>
      <c r="D39" s="2"/>
      <c r="E39" s="2"/>
      <c r="F39" s="2"/>
      <c r="G39" s="2"/>
      <c r="H39" s="2"/>
      <c r="I39" s="2"/>
      <c r="J39" s="2"/>
      <c r="K39" s="2"/>
      <c r="L39" s="2"/>
      <c r="M39" s="2"/>
      <c r="N39" s="2"/>
      <c r="O39" s="2"/>
      <c r="P39" s="2"/>
      <c r="Q39" s="2"/>
    </row>
    <row r="40" spans="1:17" x14ac:dyDescent="0.35">
      <c r="A40" s="2"/>
      <c r="B40" s="2"/>
      <c r="C40" s="2"/>
      <c r="D40" s="2"/>
      <c r="E40" s="2"/>
      <c r="F40" s="2"/>
      <c r="G40" s="2"/>
      <c r="H40" s="2"/>
      <c r="I40" s="2"/>
      <c r="J40" s="2"/>
      <c r="K40" s="2"/>
      <c r="L40" s="2"/>
      <c r="M40" s="2"/>
      <c r="N40" s="2"/>
      <c r="O40" s="2"/>
      <c r="P40" s="2"/>
      <c r="Q40" s="2"/>
    </row>
    <row r="41" spans="1:17" x14ac:dyDescent="0.35">
      <c r="A41" s="2"/>
      <c r="B41" s="2"/>
      <c r="C41" s="2"/>
      <c r="D41" s="2"/>
      <c r="E41" s="2"/>
      <c r="F41" s="2"/>
      <c r="G41" s="2"/>
      <c r="H41" s="2"/>
      <c r="I41" s="2"/>
      <c r="J41" s="2"/>
      <c r="K41" s="2"/>
      <c r="L41" s="2"/>
      <c r="M41" s="2"/>
      <c r="N41" s="2"/>
      <c r="O41" s="2"/>
      <c r="P41" s="2"/>
      <c r="Q41" s="2"/>
    </row>
    <row r="42" spans="1:17" x14ac:dyDescent="0.35">
      <c r="A42" s="2"/>
      <c r="B42" s="2"/>
      <c r="C42" s="2"/>
      <c r="D42" s="2"/>
      <c r="E42" s="2"/>
      <c r="F42" s="2"/>
      <c r="G42" s="2"/>
      <c r="H42" s="2"/>
      <c r="I42" s="2"/>
      <c r="J42" s="2"/>
      <c r="K42" s="2"/>
      <c r="L42" s="2"/>
      <c r="M42" s="2"/>
      <c r="N42" s="2"/>
      <c r="O42" s="2"/>
      <c r="P42" s="2"/>
      <c r="Q42" s="2"/>
    </row>
    <row r="43" spans="1:17" x14ac:dyDescent="0.35">
      <c r="A43" s="2"/>
      <c r="B43" s="2"/>
      <c r="C43" s="2"/>
      <c r="D43" s="2"/>
      <c r="E43" s="2"/>
      <c r="F43" s="2"/>
      <c r="G43" s="2"/>
      <c r="H43" s="2"/>
      <c r="I43" s="2"/>
      <c r="J43" s="2"/>
      <c r="K43" s="2"/>
      <c r="L43" s="2"/>
      <c r="M43" s="2"/>
      <c r="N43" s="2"/>
      <c r="O43" s="2"/>
      <c r="P43" s="2"/>
      <c r="Q43" s="2"/>
    </row>
    <row r="44" spans="1:17" x14ac:dyDescent="0.35">
      <c r="A44" s="2"/>
      <c r="B44" s="2"/>
      <c r="C44" s="2"/>
      <c r="D44" s="2"/>
      <c r="E44" s="2"/>
      <c r="F44" s="2"/>
      <c r="G44" s="2"/>
      <c r="H44" s="2"/>
      <c r="I44" s="2"/>
      <c r="J44" s="2"/>
      <c r="K44" s="2"/>
      <c r="L44" s="2"/>
      <c r="M44" s="2"/>
      <c r="N44" s="2"/>
      <c r="O44" s="2"/>
      <c r="P44" s="2"/>
      <c r="Q44" s="2"/>
    </row>
    <row r="45" spans="1:17" x14ac:dyDescent="0.35">
      <c r="A45" s="2"/>
      <c r="B45" s="2"/>
      <c r="C45" s="2"/>
      <c r="D45" s="2"/>
      <c r="E45" s="2"/>
      <c r="F45" s="2"/>
      <c r="G45" s="2"/>
      <c r="H45" s="2"/>
      <c r="I45" s="2"/>
      <c r="J45" s="2"/>
      <c r="K45" s="2"/>
      <c r="L45" s="2"/>
      <c r="M45" s="2"/>
      <c r="N45" s="2"/>
      <c r="O45" s="2"/>
      <c r="P45" s="2"/>
      <c r="Q45" s="2"/>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10377-3106-4BE0-A5D9-6F68D1BD1703}">
  <dimension ref="A1:T23"/>
  <sheetViews>
    <sheetView workbookViewId="0">
      <selection activeCell="D22" sqref="D22"/>
    </sheetView>
  </sheetViews>
  <sheetFormatPr defaultRowHeight="14.5" x14ac:dyDescent="0.35"/>
  <sheetData>
    <row r="1" spans="1:20" x14ac:dyDescent="0.35">
      <c r="A1" s="5"/>
      <c r="B1" s="5"/>
      <c r="C1" s="5"/>
      <c r="D1" s="5"/>
      <c r="E1" s="5"/>
      <c r="F1" s="5"/>
      <c r="G1" s="5"/>
      <c r="H1" s="5"/>
      <c r="I1" s="5"/>
      <c r="J1" s="5"/>
      <c r="K1" s="5"/>
      <c r="L1" s="5"/>
      <c r="M1" s="5"/>
      <c r="N1" s="5"/>
      <c r="O1" s="5"/>
      <c r="P1" s="5"/>
      <c r="Q1" s="5"/>
      <c r="R1" s="5"/>
      <c r="S1" s="5"/>
      <c r="T1" s="5"/>
    </row>
    <row r="2" spans="1:20" x14ac:dyDescent="0.35">
      <c r="A2" s="5"/>
      <c r="B2" s="5"/>
      <c r="C2" s="5"/>
      <c r="D2" s="5"/>
      <c r="E2" s="5"/>
      <c r="F2" s="5"/>
      <c r="G2" s="5"/>
      <c r="H2" s="5"/>
      <c r="I2" s="5"/>
      <c r="J2" s="5"/>
      <c r="K2" s="5"/>
      <c r="L2" s="5"/>
      <c r="M2" s="5"/>
      <c r="N2" s="5"/>
      <c r="O2" s="5"/>
      <c r="P2" s="5"/>
      <c r="Q2" s="5"/>
      <c r="R2" s="5"/>
      <c r="S2" s="5"/>
      <c r="T2" s="5"/>
    </row>
    <row r="3" spans="1:20" x14ac:dyDescent="0.35">
      <c r="A3" s="5"/>
      <c r="B3" s="5"/>
      <c r="C3" s="5"/>
      <c r="D3" s="5"/>
      <c r="E3" s="5"/>
      <c r="F3" s="5"/>
      <c r="G3" s="5"/>
      <c r="H3" s="5"/>
      <c r="I3" s="5"/>
      <c r="J3" s="5"/>
      <c r="K3" s="5"/>
      <c r="L3" s="5"/>
      <c r="M3" s="5"/>
      <c r="N3" s="5"/>
      <c r="O3" s="5"/>
      <c r="P3" s="5"/>
      <c r="Q3" s="5"/>
      <c r="R3" s="5"/>
      <c r="S3" s="5"/>
      <c r="T3" s="5"/>
    </row>
    <row r="4" spans="1:20" x14ac:dyDescent="0.35">
      <c r="A4" s="5"/>
      <c r="B4" s="5"/>
      <c r="C4" s="5"/>
      <c r="D4" s="5"/>
      <c r="E4" s="5"/>
      <c r="F4" s="5"/>
      <c r="G4" s="5"/>
      <c r="H4" s="5"/>
      <c r="I4" s="5"/>
      <c r="J4" s="5"/>
      <c r="K4" s="5"/>
      <c r="L4" s="5"/>
      <c r="M4" s="5"/>
      <c r="N4" s="5"/>
      <c r="O4" s="5"/>
      <c r="P4" s="5"/>
      <c r="Q4" s="5"/>
      <c r="R4" s="5"/>
      <c r="S4" s="5"/>
      <c r="T4" s="5"/>
    </row>
    <row r="5" spans="1:20" x14ac:dyDescent="0.35">
      <c r="A5" s="5"/>
      <c r="B5" s="5"/>
      <c r="C5" s="5"/>
      <c r="D5" s="5"/>
      <c r="E5" s="5"/>
      <c r="F5" s="5"/>
      <c r="G5" s="5"/>
      <c r="H5" s="5"/>
      <c r="I5" s="5"/>
      <c r="J5" s="5"/>
      <c r="K5" s="5"/>
      <c r="L5" s="5"/>
      <c r="M5" s="5"/>
      <c r="N5" s="5"/>
      <c r="O5" s="5"/>
      <c r="P5" s="5"/>
      <c r="Q5" s="5"/>
      <c r="R5" s="5"/>
      <c r="S5" s="5"/>
      <c r="T5" s="5"/>
    </row>
    <row r="6" spans="1:20" x14ac:dyDescent="0.35">
      <c r="A6" s="5"/>
      <c r="B6" s="5"/>
      <c r="C6" s="5"/>
      <c r="D6" s="5"/>
      <c r="E6" s="5"/>
      <c r="F6" s="5"/>
      <c r="G6" s="5"/>
      <c r="H6" s="5"/>
      <c r="I6" s="5"/>
      <c r="J6" s="5"/>
      <c r="K6" s="5"/>
      <c r="L6" s="5"/>
      <c r="M6" s="5"/>
      <c r="N6" s="5"/>
      <c r="O6" s="5"/>
      <c r="P6" s="5"/>
      <c r="Q6" s="5"/>
      <c r="R6" s="5"/>
      <c r="S6" s="5"/>
      <c r="T6" s="5"/>
    </row>
    <row r="7" spans="1:20" x14ac:dyDescent="0.35">
      <c r="A7" s="5"/>
      <c r="B7" s="5"/>
      <c r="C7" s="5"/>
      <c r="D7" s="5"/>
      <c r="E7" s="5"/>
      <c r="F7" s="5"/>
      <c r="G7" s="5"/>
      <c r="H7" s="5"/>
      <c r="I7" s="5"/>
      <c r="J7" s="5"/>
      <c r="K7" s="5"/>
      <c r="L7" s="5"/>
      <c r="M7" s="5"/>
      <c r="N7" s="5"/>
      <c r="O7" s="5"/>
      <c r="P7" s="5"/>
      <c r="Q7" s="5"/>
      <c r="R7" s="5"/>
      <c r="S7" s="5"/>
      <c r="T7" s="5"/>
    </row>
    <row r="8" spans="1:20" x14ac:dyDescent="0.35">
      <c r="A8" s="5"/>
      <c r="B8" s="5"/>
      <c r="C8" s="5"/>
      <c r="D8" s="5"/>
      <c r="E8" s="5"/>
      <c r="F8" s="5"/>
      <c r="G8" s="5"/>
      <c r="H8" s="5"/>
      <c r="I8" s="5"/>
      <c r="J8" s="5"/>
      <c r="K8" s="5"/>
      <c r="L8" s="5"/>
      <c r="M8" s="5"/>
      <c r="N8" s="5"/>
      <c r="O8" s="5"/>
      <c r="P8" s="5"/>
      <c r="Q8" s="5"/>
      <c r="R8" s="5"/>
      <c r="S8" s="5"/>
      <c r="T8" s="5"/>
    </row>
    <row r="9" spans="1:20" x14ac:dyDescent="0.35">
      <c r="A9" s="5"/>
      <c r="B9" s="5"/>
      <c r="C9" s="5"/>
      <c r="D9" s="5"/>
      <c r="E9" s="5"/>
      <c r="F9" s="5"/>
      <c r="G9" s="5"/>
      <c r="H9" s="5"/>
      <c r="I9" s="5"/>
      <c r="J9" s="5"/>
      <c r="K9" s="5"/>
      <c r="L9" s="5"/>
      <c r="M9" s="5"/>
      <c r="N9" s="5"/>
      <c r="O9" s="5"/>
      <c r="P9" s="5"/>
      <c r="Q9" s="5"/>
      <c r="R9" s="5"/>
      <c r="S9" s="5"/>
      <c r="T9" s="5"/>
    </row>
    <row r="10" spans="1:20" x14ac:dyDescent="0.35">
      <c r="A10" s="5"/>
      <c r="B10" s="5"/>
      <c r="C10" s="5"/>
      <c r="D10" s="5"/>
      <c r="E10" s="5"/>
      <c r="F10" s="5"/>
      <c r="G10" s="5"/>
      <c r="H10" s="5"/>
      <c r="I10" s="5"/>
      <c r="J10" s="5"/>
      <c r="K10" s="5"/>
      <c r="L10" s="5"/>
      <c r="M10" s="5"/>
      <c r="N10" s="5"/>
      <c r="O10" s="5"/>
      <c r="P10" s="5"/>
      <c r="Q10" s="5"/>
      <c r="R10" s="5"/>
      <c r="S10" s="5"/>
      <c r="T10" s="5"/>
    </row>
    <row r="11" spans="1:20" x14ac:dyDescent="0.35">
      <c r="A11" s="5"/>
      <c r="B11" s="5"/>
      <c r="C11" s="5"/>
      <c r="D11" s="5"/>
      <c r="E11" s="5"/>
      <c r="F11" s="5"/>
      <c r="G11" s="5"/>
      <c r="H11" s="5"/>
      <c r="I11" s="5"/>
      <c r="J11" s="5"/>
      <c r="K11" s="5"/>
      <c r="L11" s="5"/>
      <c r="M11" s="5"/>
      <c r="N11" s="5"/>
      <c r="O11" s="5"/>
      <c r="P11" s="5"/>
      <c r="Q11" s="5"/>
      <c r="R11" s="5"/>
      <c r="S11" s="5"/>
      <c r="T11" s="5"/>
    </row>
    <row r="12" spans="1:20" x14ac:dyDescent="0.35">
      <c r="A12" s="5"/>
      <c r="B12" s="5"/>
      <c r="C12" s="5"/>
      <c r="D12" s="5"/>
      <c r="E12" s="5"/>
      <c r="F12" s="5"/>
      <c r="G12" s="5"/>
      <c r="H12" s="5"/>
      <c r="I12" s="5"/>
      <c r="J12" s="5"/>
      <c r="K12" s="5"/>
      <c r="L12" s="5"/>
      <c r="M12" s="5"/>
      <c r="N12" s="5"/>
      <c r="O12" s="5"/>
      <c r="P12" s="5"/>
      <c r="Q12" s="5"/>
      <c r="R12" s="5"/>
      <c r="S12" s="5"/>
      <c r="T12" s="5"/>
    </row>
    <row r="13" spans="1:20" x14ac:dyDescent="0.35">
      <c r="A13" s="5"/>
      <c r="B13" s="5"/>
      <c r="C13" s="5"/>
      <c r="D13" s="5"/>
      <c r="E13" s="5"/>
      <c r="F13" s="5"/>
      <c r="G13" s="5"/>
      <c r="H13" s="5"/>
      <c r="I13" s="5"/>
      <c r="J13" s="5"/>
      <c r="K13" s="5"/>
      <c r="L13" s="5"/>
      <c r="M13" s="5"/>
      <c r="N13" s="5"/>
      <c r="O13" s="5"/>
      <c r="P13" s="5"/>
      <c r="Q13" s="5"/>
      <c r="R13" s="5"/>
      <c r="S13" s="5"/>
      <c r="T13" s="5"/>
    </row>
    <row r="14" spans="1:20" x14ac:dyDescent="0.35">
      <c r="A14" s="5"/>
      <c r="B14" s="5"/>
      <c r="C14" s="5"/>
      <c r="D14" s="5"/>
      <c r="E14" s="5"/>
      <c r="F14" s="5"/>
      <c r="G14" s="5"/>
      <c r="H14" s="5"/>
      <c r="I14" s="5"/>
      <c r="J14" s="5"/>
      <c r="K14" s="5"/>
      <c r="L14" s="5"/>
      <c r="M14" s="5"/>
      <c r="N14" s="5"/>
      <c r="O14" s="5"/>
      <c r="P14" s="5"/>
      <c r="Q14" s="5"/>
      <c r="R14" s="5"/>
      <c r="S14" s="5"/>
      <c r="T14" s="5"/>
    </row>
    <row r="15" spans="1:20" x14ac:dyDescent="0.35">
      <c r="A15" s="5"/>
      <c r="B15" s="5"/>
      <c r="C15" s="5"/>
      <c r="D15" s="5"/>
      <c r="E15" s="5"/>
      <c r="F15" s="5"/>
      <c r="G15" s="5"/>
      <c r="H15" s="5"/>
      <c r="I15" s="5"/>
      <c r="J15" s="5"/>
      <c r="K15" s="5"/>
      <c r="L15" s="5"/>
      <c r="M15" s="5"/>
      <c r="N15" s="5"/>
      <c r="O15" s="5"/>
      <c r="P15" s="5"/>
      <c r="Q15" s="5"/>
      <c r="R15" s="5"/>
      <c r="S15" s="5"/>
      <c r="T15" s="5"/>
    </row>
    <row r="16" spans="1:20" x14ac:dyDescent="0.35">
      <c r="A16" s="5"/>
      <c r="B16" s="5"/>
      <c r="C16" s="5"/>
      <c r="D16" s="5"/>
      <c r="E16" s="5"/>
      <c r="F16" s="5"/>
      <c r="G16" s="5"/>
      <c r="H16" s="5"/>
      <c r="I16" s="5"/>
      <c r="J16" s="5"/>
      <c r="K16" s="5"/>
      <c r="L16" s="5"/>
      <c r="M16" s="5"/>
      <c r="N16" s="5"/>
      <c r="O16" s="5"/>
      <c r="P16" s="5"/>
      <c r="Q16" s="5"/>
      <c r="R16" s="5"/>
      <c r="S16" s="5"/>
      <c r="T16" s="5"/>
    </row>
    <row r="17" spans="1:20" x14ac:dyDescent="0.35">
      <c r="A17" s="5"/>
      <c r="B17" s="5"/>
      <c r="C17" s="5"/>
      <c r="D17" s="5"/>
      <c r="E17" s="5"/>
      <c r="F17" s="5"/>
      <c r="G17" s="5"/>
      <c r="H17" s="5"/>
      <c r="I17" s="5"/>
      <c r="J17" s="5"/>
      <c r="K17" s="5"/>
      <c r="L17" s="5"/>
      <c r="M17" s="5"/>
      <c r="N17" s="5"/>
      <c r="O17" s="5"/>
      <c r="P17" s="5"/>
      <c r="Q17" s="5"/>
      <c r="R17" s="5"/>
      <c r="S17" s="5"/>
      <c r="T17" s="5"/>
    </row>
    <row r="18" spans="1:20" x14ac:dyDescent="0.35">
      <c r="A18" s="5"/>
      <c r="B18" s="5"/>
      <c r="C18" s="5"/>
      <c r="D18" s="5"/>
      <c r="E18" s="5"/>
      <c r="F18" s="5"/>
      <c r="G18" s="5"/>
      <c r="H18" s="5"/>
      <c r="I18" s="5"/>
      <c r="J18" s="5"/>
      <c r="K18" s="5"/>
      <c r="L18" s="5"/>
      <c r="M18" s="5"/>
      <c r="N18" s="5"/>
      <c r="O18" s="5"/>
      <c r="P18" s="5"/>
      <c r="Q18" s="5"/>
      <c r="R18" s="5"/>
      <c r="S18" s="5"/>
      <c r="T18" s="5"/>
    </row>
    <row r="19" spans="1:20" x14ac:dyDescent="0.35">
      <c r="A19" s="5"/>
      <c r="B19" s="5"/>
      <c r="C19" s="5"/>
      <c r="D19" s="5"/>
      <c r="E19" s="5"/>
      <c r="F19" s="5"/>
      <c r="G19" s="5"/>
      <c r="H19" s="5"/>
      <c r="I19" s="5"/>
      <c r="J19" s="5"/>
      <c r="K19" s="5"/>
      <c r="L19" s="5"/>
      <c r="M19" s="5"/>
      <c r="N19" s="5"/>
      <c r="O19" s="5"/>
      <c r="P19" s="5"/>
      <c r="Q19" s="5"/>
      <c r="R19" s="5"/>
      <c r="S19" s="5"/>
      <c r="T19" s="5"/>
    </row>
    <row r="20" spans="1:20" x14ac:dyDescent="0.35">
      <c r="A20" s="5"/>
      <c r="B20" s="5"/>
      <c r="C20" s="5"/>
      <c r="D20" s="5"/>
      <c r="E20" s="5"/>
      <c r="F20" s="5"/>
      <c r="G20" s="5"/>
      <c r="H20" s="5"/>
      <c r="I20" s="5"/>
      <c r="J20" s="5"/>
      <c r="K20" s="5"/>
      <c r="L20" s="5"/>
      <c r="M20" s="5"/>
      <c r="N20" s="5"/>
      <c r="O20" s="5"/>
      <c r="P20" s="5"/>
      <c r="Q20" s="5"/>
      <c r="R20" s="5"/>
      <c r="S20" s="5"/>
      <c r="T20" s="5"/>
    </row>
    <row r="21" spans="1:20" x14ac:dyDescent="0.35">
      <c r="A21" s="5"/>
      <c r="B21" s="5"/>
      <c r="C21" s="5"/>
      <c r="D21" s="5"/>
      <c r="E21" s="5"/>
      <c r="F21" s="5"/>
      <c r="G21" s="5"/>
      <c r="H21" s="5"/>
      <c r="I21" s="5"/>
      <c r="J21" s="5"/>
      <c r="K21" s="5"/>
      <c r="L21" s="5"/>
      <c r="M21" s="5"/>
      <c r="N21" s="5"/>
      <c r="O21" s="5"/>
      <c r="P21" s="5"/>
      <c r="Q21" s="5"/>
      <c r="R21" s="5"/>
      <c r="S21" s="5"/>
      <c r="T21" s="5"/>
    </row>
    <row r="22" spans="1:20" x14ac:dyDescent="0.35">
      <c r="A22" s="5"/>
      <c r="B22" s="5"/>
      <c r="C22" s="5"/>
      <c r="D22" s="5"/>
      <c r="E22" s="5"/>
      <c r="F22" s="5"/>
      <c r="G22" s="5"/>
      <c r="H22" s="5"/>
      <c r="I22" s="5"/>
      <c r="J22" s="5"/>
      <c r="K22" s="5"/>
      <c r="L22" s="5"/>
      <c r="M22" s="5"/>
      <c r="N22" s="5"/>
      <c r="O22" s="5"/>
      <c r="P22" s="5"/>
      <c r="Q22" s="5"/>
      <c r="R22" s="5"/>
      <c r="S22" s="5"/>
      <c r="T22" s="5"/>
    </row>
    <row r="23" spans="1:20" x14ac:dyDescent="0.35">
      <c r="A23" s="5"/>
      <c r="B23" s="5"/>
      <c r="C23" s="5"/>
      <c r="D23" s="5"/>
      <c r="E23" s="5"/>
      <c r="F23" s="5"/>
      <c r="G23" s="5"/>
      <c r="H23" s="5"/>
      <c r="I23" s="5"/>
      <c r="J23" s="5"/>
      <c r="K23" s="5"/>
      <c r="L23" s="5"/>
      <c r="M23" s="5"/>
      <c r="N23" s="5"/>
      <c r="O23" s="5"/>
      <c r="P23" s="5"/>
      <c r="Q23" s="5"/>
      <c r="R23" s="5"/>
      <c r="S23" s="5"/>
      <c r="T23" s="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B6959-1AE5-4BE5-9815-72E991CE7D17}">
  <dimension ref="A1:S22"/>
  <sheetViews>
    <sheetView workbookViewId="0"/>
  </sheetViews>
  <sheetFormatPr defaultRowHeight="14.5" x14ac:dyDescent="0.35"/>
  <sheetData>
    <row r="1" spans="1:19" x14ac:dyDescent="0.35">
      <c r="A1" s="5"/>
      <c r="B1" s="5"/>
      <c r="C1" s="5"/>
      <c r="D1" s="5"/>
      <c r="E1" s="5"/>
      <c r="F1" s="5"/>
      <c r="G1" s="5"/>
      <c r="H1" s="5"/>
      <c r="I1" s="5"/>
      <c r="J1" s="5"/>
      <c r="K1" s="5"/>
      <c r="L1" s="5"/>
      <c r="M1" s="5"/>
      <c r="N1" s="5"/>
      <c r="O1" s="5"/>
      <c r="P1" s="5"/>
      <c r="Q1" s="5"/>
      <c r="R1" s="5"/>
      <c r="S1" s="5"/>
    </row>
    <row r="2" spans="1:19" x14ac:dyDescent="0.35">
      <c r="A2" s="5"/>
      <c r="B2" s="5"/>
      <c r="C2" s="5"/>
      <c r="D2" s="5"/>
      <c r="E2" s="5"/>
      <c r="F2" s="5"/>
      <c r="G2" s="5"/>
      <c r="H2" s="5"/>
      <c r="I2" s="5"/>
      <c r="J2" s="5"/>
      <c r="K2" s="5"/>
      <c r="L2" s="5"/>
      <c r="M2" s="5"/>
      <c r="N2" s="5"/>
      <c r="O2" s="5"/>
      <c r="P2" s="5"/>
      <c r="Q2" s="5"/>
      <c r="R2" s="5"/>
      <c r="S2" s="5"/>
    </row>
    <row r="3" spans="1:19" x14ac:dyDescent="0.35">
      <c r="A3" s="5"/>
      <c r="B3" s="5"/>
      <c r="C3" s="5"/>
      <c r="D3" s="5"/>
      <c r="E3" s="5"/>
      <c r="F3" s="5"/>
      <c r="G3" s="5"/>
      <c r="H3" s="5"/>
      <c r="I3" s="5"/>
      <c r="J3" s="5"/>
      <c r="K3" s="5"/>
      <c r="L3" s="5"/>
      <c r="M3" s="5"/>
      <c r="N3" s="5"/>
      <c r="O3" s="5"/>
      <c r="P3" s="5"/>
      <c r="Q3" s="5"/>
      <c r="R3" s="5"/>
      <c r="S3" s="5"/>
    </row>
    <row r="4" spans="1:19" x14ac:dyDescent="0.35">
      <c r="A4" s="5"/>
      <c r="B4" s="5"/>
      <c r="C4" s="5"/>
      <c r="D4" s="5"/>
      <c r="E4" s="5"/>
      <c r="F4" s="5"/>
      <c r="G4" s="5"/>
      <c r="H4" s="5"/>
      <c r="I4" s="5"/>
      <c r="J4" s="5"/>
      <c r="K4" s="5"/>
      <c r="L4" s="5"/>
      <c r="M4" s="5"/>
      <c r="N4" s="5"/>
      <c r="O4" s="5"/>
      <c r="P4" s="5"/>
      <c r="Q4" s="5"/>
      <c r="R4" s="5"/>
      <c r="S4" s="5"/>
    </row>
    <row r="5" spans="1:19" x14ac:dyDescent="0.35">
      <c r="A5" s="5"/>
      <c r="B5" s="5"/>
      <c r="C5" s="5"/>
      <c r="D5" s="5"/>
      <c r="E5" s="5"/>
      <c r="F5" s="5"/>
      <c r="G5" s="5"/>
      <c r="H5" s="5"/>
      <c r="I5" s="5"/>
      <c r="J5" s="5"/>
      <c r="K5" s="5"/>
      <c r="L5" s="5"/>
      <c r="M5" s="5"/>
      <c r="N5" s="5"/>
      <c r="O5" s="5"/>
      <c r="P5" s="5"/>
      <c r="Q5" s="5"/>
      <c r="R5" s="5"/>
      <c r="S5" s="5"/>
    </row>
    <row r="6" spans="1:19" x14ac:dyDescent="0.35">
      <c r="A6" s="5"/>
      <c r="B6" s="5"/>
      <c r="C6" s="5"/>
      <c r="D6" s="5"/>
      <c r="E6" s="5"/>
      <c r="F6" s="5"/>
      <c r="G6" s="5"/>
      <c r="H6" s="5"/>
      <c r="I6" s="5"/>
      <c r="J6" s="5"/>
      <c r="K6" s="5"/>
      <c r="L6" s="5"/>
      <c r="M6" s="5"/>
      <c r="N6" s="5"/>
      <c r="O6" s="5"/>
      <c r="P6" s="5"/>
      <c r="Q6" s="5"/>
      <c r="R6" s="5"/>
      <c r="S6" s="5"/>
    </row>
    <row r="7" spans="1:19" x14ac:dyDescent="0.35">
      <c r="A7" s="5"/>
      <c r="B7" s="5"/>
      <c r="C7" s="5"/>
      <c r="D7" s="5"/>
      <c r="E7" s="5"/>
      <c r="F7" s="5"/>
      <c r="G7" s="5"/>
      <c r="H7" s="5"/>
      <c r="I7" s="5"/>
      <c r="J7" s="5"/>
      <c r="K7" s="5"/>
      <c r="L7" s="5"/>
      <c r="M7" s="5"/>
      <c r="N7" s="5"/>
      <c r="O7" s="5"/>
      <c r="P7" s="5"/>
      <c r="Q7" s="5"/>
      <c r="R7" s="5"/>
      <c r="S7" s="5"/>
    </row>
    <row r="8" spans="1:19" x14ac:dyDescent="0.35">
      <c r="A8" s="5"/>
      <c r="B8" s="5"/>
      <c r="C8" s="5"/>
      <c r="D8" s="5"/>
      <c r="E8" s="5"/>
      <c r="F8" s="5"/>
      <c r="G8" s="5"/>
      <c r="H8" s="5"/>
      <c r="I8" s="5"/>
      <c r="J8" s="5"/>
      <c r="K8" s="5"/>
      <c r="L8" s="5"/>
      <c r="M8" s="5"/>
      <c r="N8" s="5"/>
      <c r="O8" s="5"/>
      <c r="P8" s="5"/>
      <c r="Q8" s="5"/>
      <c r="R8" s="5"/>
      <c r="S8" s="5"/>
    </row>
    <row r="9" spans="1:19" x14ac:dyDescent="0.35">
      <c r="A9" s="5"/>
      <c r="B9" s="5"/>
      <c r="C9" s="5"/>
      <c r="D9" s="5"/>
      <c r="E9" s="5"/>
      <c r="F9" s="5"/>
      <c r="G9" s="5"/>
      <c r="H9" s="5"/>
      <c r="I9" s="5"/>
      <c r="J9" s="5"/>
      <c r="K9" s="5"/>
      <c r="L9" s="5"/>
      <c r="M9" s="5"/>
      <c r="N9" s="5"/>
      <c r="O9" s="5"/>
      <c r="P9" s="5"/>
      <c r="Q9" s="5"/>
      <c r="R9" s="5"/>
      <c r="S9" s="5"/>
    </row>
    <row r="10" spans="1:19" x14ac:dyDescent="0.35">
      <c r="A10" s="5"/>
      <c r="B10" s="5"/>
      <c r="C10" s="5"/>
      <c r="D10" s="5"/>
      <c r="E10" s="5"/>
      <c r="F10" s="5"/>
      <c r="G10" s="5"/>
      <c r="H10" s="5"/>
      <c r="I10" s="5"/>
      <c r="J10" s="5"/>
      <c r="K10" s="5"/>
      <c r="L10" s="5"/>
      <c r="M10" s="5"/>
      <c r="N10" s="5"/>
      <c r="O10" s="5"/>
      <c r="P10" s="5"/>
      <c r="Q10" s="5"/>
      <c r="R10" s="5"/>
      <c r="S10" s="5"/>
    </row>
    <row r="11" spans="1:19" x14ac:dyDescent="0.35">
      <c r="A11" s="5"/>
      <c r="B11" s="5"/>
      <c r="C11" s="5"/>
      <c r="D11" s="5"/>
      <c r="E11" s="5"/>
      <c r="F11" s="5"/>
      <c r="G11" s="5"/>
      <c r="H11" s="5"/>
      <c r="I11" s="5"/>
      <c r="J11" s="5"/>
      <c r="K11" s="5"/>
      <c r="L11" s="5"/>
      <c r="M11" s="5"/>
      <c r="N11" s="5"/>
      <c r="O11" s="5"/>
      <c r="P11" s="5"/>
      <c r="Q11" s="5"/>
      <c r="R11" s="5"/>
      <c r="S11" s="5"/>
    </row>
    <row r="12" spans="1:19" x14ac:dyDescent="0.35">
      <c r="A12" s="5"/>
      <c r="B12" s="5"/>
      <c r="C12" s="5"/>
      <c r="D12" s="5"/>
      <c r="E12" s="5"/>
      <c r="F12" s="5"/>
      <c r="G12" s="5"/>
      <c r="H12" s="5"/>
      <c r="I12" s="5"/>
      <c r="J12" s="5"/>
      <c r="K12" s="5"/>
      <c r="L12" s="5"/>
      <c r="M12" s="5"/>
      <c r="N12" s="5"/>
      <c r="O12" s="5"/>
      <c r="P12" s="5"/>
      <c r="Q12" s="5"/>
      <c r="R12" s="5"/>
      <c r="S12" s="5"/>
    </row>
    <row r="13" spans="1:19" x14ac:dyDescent="0.35">
      <c r="A13" s="5"/>
      <c r="B13" s="5"/>
      <c r="C13" s="5"/>
      <c r="D13" s="5"/>
      <c r="E13" s="5"/>
      <c r="F13" s="5"/>
      <c r="G13" s="5"/>
      <c r="H13" s="5"/>
      <c r="I13" s="5"/>
      <c r="J13" s="5"/>
      <c r="K13" s="5"/>
      <c r="L13" s="5"/>
      <c r="M13" s="5"/>
      <c r="N13" s="5"/>
      <c r="O13" s="5"/>
      <c r="P13" s="5"/>
      <c r="Q13" s="5"/>
      <c r="R13" s="5"/>
      <c r="S13" s="5"/>
    </row>
    <row r="14" spans="1:19" x14ac:dyDescent="0.35">
      <c r="A14" s="5"/>
      <c r="B14" s="5"/>
      <c r="C14" s="5"/>
      <c r="D14" s="5"/>
      <c r="E14" s="5"/>
      <c r="F14" s="5"/>
      <c r="G14" s="5"/>
      <c r="H14" s="5"/>
      <c r="I14" s="5"/>
      <c r="J14" s="5"/>
      <c r="K14" s="5"/>
      <c r="L14" s="5"/>
      <c r="M14" s="5"/>
      <c r="N14" s="5"/>
      <c r="O14" s="5"/>
      <c r="P14" s="5"/>
      <c r="Q14" s="5"/>
      <c r="R14" s="5"/>
      <c r="S14" s="5"/>
    </row>
    <row r="15" spans="1:19" x14ac:dyDescent="0.35">
      <c r="A15" s="5"/>
      <c r="B15" s="5"/>
      <c r="C15" s="5"/>
      <c r="D15" s="5"/>
      <c r="E15" s="5"/>
      <c r="F15" s="5"/>
      <c r="G15" s="5"/>
      <c r="H15" s="5"/>
      <c r="I15" s="5"/>
      <c r="J15" s="5"/>
      <c r="K15" s="5"/>
      <c r="L15" s="5"/>
      <c r="M15" s="5"/>
      <c r="N15" s="5"/>
      <c r="O15" s="5"/>
      <c r="P15" s="5"/>
      <c r="Q15" s="5"/>
      <c r="R15" s="5"/>
      <c r="S15" s="5"/>
    </row>
    <row r="16" spans="1:19" x14ac:dyDescent="0.35">
      <c r="A16" s="5"/>
      <c r="B16" s="5"/>
      <c r="C16" s="5"/>
      <c r="D16" s="5"/>
      <c r="E16" s="5"/>
      <c r="F16" s="5"/>
      <c r="G16" s="5"/>
      <c r="H16" s="5"/>
      <c r="I16" s="5"/>
      <c r="J16" s="5"/>
      <c r="K16" s="5"/>
      <c r="L16" s="5"/>
      <c r="M16" s="5"/>
      <c r="N16" s="5"/>
      <c r="O16" s="5"/>
      <c r="P16" s="5"/>
      <c r="Q16" s="5"/>
      <c r="R16" s="5"/>
      <c r="S16" s="5"/>
    </row>
    <row r="17" spans="1:19" x14ac:dyDescent="0.35">
      <c r="A17" s="5"/>
      <c r="B17" s="5"/>
      <c r="C17" s="5"/>
      <c r="D17" s="5"/>
      <c r="E17" s="5"/>
      <c r="F17" s="5"/>
      <c r="G17" s="5"/>
      <c r="H17" s="5"/>
      <c r="I17" s="5"/>
      <c r="J17" s="5"/>
      <c r="K17" s="5"/>
      <c r="L17" s="5"/>
      <c r="M17" s="5"/>
      <c r="N17" s="5"/>
      <c r="O17" s="5"/>
      <c r="P17" s="5"/>
      <c r="Q17" s="5"/>
      <c r="R17" s="5"/>
      <c r="S17" s="5"/>
    </row>
    <row r="18" spans="1:19" x14ac:dyDescent="0.35">
      <c r="A18" s="5"/>
      <c r="B18" s="5"/>
      <c r="C18" s="5"/>
      <c r="D18" s="5"/>
      <c r="E18" s="5"/>
      <c r="F18" s="5"/>
      <c r="G18" s="5"/>
      <c r="H18" s="5"/>
      <c r="I18" s="5"/>
      <c r="J18" s="5"/>
      <c r="K18" s="5"/>
      <c r="L18" s="5"/>
      <c r="M18" s="5"/>
      <c r="N18" s="5"/>
      <c r="O18" s="5"/>
      <c r="P18" s="5"/>
      <c r="Q18" s="5"/>
      <c r="R18" s="5"/>
      <c r="S18" s="5"/>
    </row>
    <row r="19" spans="1:19" x14ac:dyDescent="0.35">
      <c r="A19" s="5"/>
      <c r="B19" s="5"/>
      <c r="C19" s="5"/>
      <c r="D19" s="5"/>
      <c r="E19" s="5"/>
      <c r="F19" s="5"/>
      <c r="G19" s="5"/>
      <c r="H19" s="5"/>
      <c r="I19" s="5"/>
      <c r="J19" s="5"/>
      <c r="K19" s="5"/>
      <c r="L19" s="5"/>
      <c r="M19" s="5"/>
      <c r="N19" s="5"/>
      <c r="O19" s="5"/>
      <c r="P19" s="5"/>
      <c r="Q19" s="5"/>
      <c r="R19" s="5"/>
      <c r="S19" s="5"/>
    </row>
    <row r="20" spans="1:19" x14ac:dyDescent="0.35">
      <c r="A20" s="5"/>
      <c r="B20" s="5"/>
      <c r="C20" s="5"/>
      <c r="D20" s="5"/>
      <c r="E20" s="5"/>
      <c r="F20" s="5"/>
      <c r="G20" s="5"/>
      <c r="H20" s="5"/>
      <c r="I20" s="5"/>
      <c r="J20" s="5"/>
      <c r="K20" s="5"/>
      <c r="L20" s="5"/>
      <c r="M20" s="5"/>
      <c r="N20" s="5"/>
      <c r="O20" s="5"/>
      <c r="P20" s="5"/>
      <c r="Q20" s="5"/>
      <c r="R20" s="5"/>
      <c r="S20" s="5"/>
    </row>
    <row r="21" spans="1:19" x14ac:dyDescent="0.35">
      <c r="A21" s="5"/>
      <c r="B21" s="5"/>
      <c r="C21" s="5"/>
      <c r="D21" s="5"/>
      <c r="E21" s="5"/>
      <c r="F21" s="5"/>
      <c r="G21" s="5"/>
      <c r="H21" s="5"/>
      <c r="I21" s="5"/>
      <c r="J21" s="5"/>
      <c r="K21" s="5"/>
      <c r="L21" s="5"/>
      <c r="M21" s="5"/>
      <c r="N21" s="5"/>
      <c r="O21" s="5"/>
      <c r="P21" s="5"/>
      <c r="Q21" s="5"/>
      <c r="R21" s="5"/>
      <c r="S21" s="5"/>
    </row>
    <row r="22" spans="1:19" x14ac:dyDescent="0.35">
      <c r="A22" s="5"/>
      <c r="B22" s="5"/>
      <c r="C22" s="5"/>
      <c r="D22" s="5"/>
      <c r="E22" s="5"/>
      <c r="F22" s="5"/>
      <c r="G22" s="5"/>
      <c r="H22" s="5"/>
      <c r="I22" s="5"/>
      <c r="J22" s="5"/>
      <c r="K22" s="5"/>
      <c r="L22" s="5"/>
      <c r="M22" s="5"/>
      <c r="N22" s="5"/>
      <c r="O22" s="5"/>
      <c r="P22" s="5"/>
      <c r="Q22" s="5"/>
      <c r="R22" s="5"/>
      <c r="S22" s="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9A852-7930-40BD-B4B1-02BEE720C3C3}">
  <dimension ref="A1:S31"/>
  <sheetViews>
    <sheetView workbookViewId="0"/>
  </sheetViews>
  <sheetFormatPr defaultRowHeight="14.5" x14ac:dyDescent="0.35"/>
  <sheetData>
    <row r="1" spans="1:19" x14ac:dyDescent="0.35">
      <c r="A1" s="5"/>
      <c r="B1" s="5"/>
      <c r="C1" s="5"/>
      <c r="D1" s="5"/>
      <c r="E1" s="5"/>
      <c r="F1" s="5"/>
      <c r="G1" s="5"/>
      <c r="H1" s="5"/>
      <c r="I1" s="5"/>
      <c r="J1" s="5"/>
      <c r="K1" s="5"/>
      <c r="L1" s="5"/>
      <c r="M1" s="5"/>
      <c r="N1" s="5"/>
      <c r="O1" s="5"/>
      <c r="P1" s="5"/>
      <c r="Q1" s="5"/>
      <c r="R1" s="5"/>
      <c r="S1" s="5"/>
    </row>
    <row r="2" spans="1:19" x14ac:dyDescent="0.35">
      <c r="A2" s="5"/>
      <c r="B2" s="5"/>
      <c r="C2" s="5"/>
      <c r="D2" s="5"/>
      <c r="E2" s="5"/>
      <c r="F2" s="5"/>
      <c r="G2" s="5"/>
      <c r="H2" s="5"/>
      <c r="I2" s="5"/>
      <c r="J2" s="5"/>
      <c r="K2" s="5"/>
      <c r="L2" s="5"/>
      <c r="M2" s="5"/>
      <c r="N2" s="5"/>
      <c r="O2" s="5"/>
      <c r="P2" s="5"/>
      <c r="Q2" s="5"/>
      <c r="R2" s="5"/>
      <c r="S2" s="5"/>
    </row>
    <row r="3" spans="1:19" x14ac:dyDescent="0.35">
      <c r="A3" s="5"/>
      <c r="B3" s="5"/>
      <c r="C3" s="5"/>
      <c r="D3" s="5"/>
      <c r="E3" s="5"/>
      <c r="F3" s="5"/>
      <c r="G3" s="5"/>
      <c r="H3" s="5"/>
      <c r="I3" s="5"/>
      <c r="J3" s="5"/>
      <c r="K3" s="5"/>
      <c r="L3" s="5"/>
      <c r="M3" s="5"/>
      <c r="N3" s="5"/>
      <c r="O3" s="5"/>
      <c r="P3" s="5"/>
      <c r="Q3" s="5"/>
      <c r="R3" s="5"/>
      <c r="S3" s="5"/>
    </row>
    <row r="4" spans="1:19" x14ac:dyDescent="0.35">
      <c r="A4" s="5"/>
      <c r="B4" s="5"/>
      <c r="C4" s="5"/>
      <c r="D4" s="5"/>
      <c r="E4" s="5"/>
      <c r="F4" s="5"/>
      <c r="G4" s="5"/>
      <c r="H4" s="5"/>
      <c r="I4" s="5"/>
      <c r="J4" s="5"/>
      <c r="K4" s="5"/>
      <c r="L4" s="5"/>
      <c r="M4" s="5"/>
      <c r="N4" s="5"/>
      <c r="O4" s="5"/>
      <c r="P4" s="5"/>
      <c r="Q4" s="5"/>
      <c r="R4" s="5"/>
      <c r="S4" s="5"/>
    </row>
    <row r="5" spans="1:19" x14ac:dyDescent="0.35">
      <c r="A5" s="5"/>
      <c r="B5" s="5"/>
      <c r="C5" s="5"/>
      <c r="D5" s="5"/>
      <c r="E5" s="5"/>
      <c r="F5" s="5"/>
      <c r="G5" s="5"/>
      <c r="H5" s="5"/>
      <c r="I5" s="5"/>
      <c r="J5" s="5"/>
      <c r="K5" s="5"/>
      <c r="L5" s="5"/>
      <c r="M5" s="5"/>
      <c r="N5" s="5"/>
      <c r="O5" s="5"/>
      <c r="P5" s="5"/>
      <c r="Q5" s="5"/>
      <c r="R5" s="5"/>
      <c r="S5" s="5"/>
    </row>
    <row r="6" spans="1:19" x14ac:dyDescent="0.35">
      <c r="A6" s="5"/>
      <c r="B6" s="5"/>
      <c r="C6" s="5"/>
      <c r="D6" s="5"/>
      <c r="E6" s="5"/>
      <c r="F6" s="5"/>
      <c r="G6" s="5"/>
      <c r="H6" s="5"/>
      <c r="I6" s="5"/>
      <c r="J6" s="5"/>
      <c r="K6" s="5"/>
      <c r="L6" s="5"/>
      <c r="M6" s="5"/>
      <c r="N6" s="5"/>
      <c r="O6" s="5"/>
      <c r="P6" s="5"/>
      <c r="Q6" s="5"/>
      <c r="R6" s="5"/>
      <c r="S6" s="5"/>
    </row>
    <row r="7" spans="1:19" x14ac:dyDescent="0.35">
      <c r="A7" s="5"/>
      <c r="B7" s="5"/>
      <c r="C7" s="5"/>
      <c r="D7" s="5"/>
      <c r="E7" s="5"/>
      <c r="F7" s="5"/>
      <c r="G7" s="5"/>
      <c r="H7" s="5"/>
      <c r="I7" s="5"/>
      <c r="J7" s="5"/>
      <c r="K7" s="5"/>
      <c r="L7" s="5"/>
      <c r="M7" s="5"/>
      <c r="N7" s="5"/>
      <c r="O7" s="5"/>
      <c r="P7" s="5"/>
      <c r="Q7" s="5"/>
      <c r="R7" s="5"/>
      <c r="S7" s="5"/>
    </row>
    <row r="8" spans="1:19" x14ac:dyDescent="0.35">
      <c r="A8" s="5"/>
      <c r="B8" s="5"/>
      <c r="C8" s="5"/>
      <c r="D8" s="5"/>
      <c r="E8" s="5"/>
      <c r="F8" s="5"/>
      <c r="G8" s="5"/>
      <c r="H8" s="5"/>
      <c r="I8" s="5"/>
      <c r="J8" s="5"/>
      <c r="K8" s="5"/>
      <c r="L8" s="5"/>
      <c r="M8" s="5"/>
      <c r="N8" s="5"/>
      <c r="O8" s="5"/>
      <c r="P8" s="5"/>
      <c r="Q8" s="5"/>
      <c r="R8" s="5"/>
      <c r="S8" s="5"/>
    </row>
    <row r="9" spans="1:19" x14ac:dyDescent="0.35">
      <c r="A9" s="5"/>
      <c r="B9" s="5"/>
      <c r="C9" s="5"/>
      <c r="D9" s="5"/>
      <c r="E9" s="5"/>
      <c r="F9" s="5"/>
      <c r="G9" s="5"/>
      <c r="H9" s="5"/>
      <c r="I9" s="5"/>
      <c r="J9" s="5"/>
      <c r="K9" s="5"/>
      <c r="L9" s="5"/>
      <c r="M9" s="5"/>
      <c r="N9" s="5"/>
      <c r="O9" s="5"/>
      <c r="P9" s="5"/>
      <c r="Q9" s="5"/>
      <c r="R9" s="5"/>
      <c r="S9" s="5"/>
    </row>
    <row r="10" spans="1:19" x14ac:dyDescent="0.35">
      <c r="A10" s="5"/>
      <c r="B10" s="5"/>
      <c r="C10" s="5"/>
      <c r="D10" s="5"/>
      <c r="E10" s="5"/>
      <c r="F10" s="5"/>
      <c r="G10" s="5"/>
      <c r="H10" s="5"/>
      <c r="I10" s="5"/>
      <c r="J10" s="5"/>
      <c r="K10" s="5"/>
      <c r="L10" s="5"/>
      <c r="M10" s="5"/>
      <c r="N10" s="5"/>
      <c r="O10" s="5"/>
      <c r="P10" s="5"/>
      <c r="Q10" s="5"/>
      <c r="R10" s="5"/>
      <c r="S10" s="5"/>
    </row>
    <row r="11" spans="1:19" x14ac:dyDescent="0.35">
      <c r="A11" s="5"/>
      <c r="B11" s="5"/>
      <c r="C11" s="5"/>
      <c r="D11" s="5"/>
      <c r="E11" s="5"/>
      <c r="F11" s="5"/>
      <c r="G11" s="5"/>
      <c r="H11" s="5"/>
      <c r="I11" s="5"/>
      <c r="J11" s="5"/>
      <c r="K11" s="5"/>
      <c r="L11" s="5"/>
      <c r="M11" s="5"/>
      <c r="N11" s="5"/>
      <c r="O11" s="5"/>
      <c r="P11" s="5"/>
      <c r="Q11" s="5"/>
      <c r="R11" s="5"/>
      <c r="S11" s="5"/>
    </row>
    <row r="12" spans="1:19" x14ac:dyDescent="0.35">
      <c r="A12" s="5"/>
      <c r="B12" s="5"/>
      <c r="C12" s="5"/>
      <c r="D12" s="5"/>
      <c r="E12" s="5"/>
      <c r="F12" s="5"/>
      <c r="G12" s="5"/>
      <c r="H12" s="5"/>
      <c r="I12" s="5"/>
      <c r="J12" s="5"/>
      <c r="K12" s="5"/>
      <c r="L12" s="5"/>
      <c r="M12" s="5"/>
      <c r="N12" s="5"/>
      <c r="O12" s="5"/>
      <c r="P12" s="5"/>
      <c r="Q12" s="5"/>
      <c r="R12" s="5"/>
      <c r="S12" s="5"/>
    </row>
    <row r="13" spans="1:19" x14ac:dyDescent="0.35">
      <c r="A13" s="5"/>
      <c r="B13" s="5"/>
      <c r="C13" s="5"/>
      <c r="D13" s="5"/>
      <c r="E13" s="5"/>
      <c r="F13" s="5"/>
      <c r="G13" s="5"/>
      <c r="H13" s="5"/>
      <c r="I13" s="5"/>
      <c r="J13" s="5"/>
      <c r="K13" s="5"/>
      <c r="L13" s="5"/>
      <c r="M13" s="5"/>
      <c r="N13" s="5"/>
      <c r="O13" s="5"/>
      <c r="P13" s="5"/>
      <c r="Q13" s="5"/>
      <c r="R13" s="5"/>
      <c r="S13" s="5"/>
    </row>
    <row r="14" spans="1:19" x14ac:dyDescent="0.35">
      <c r="A14" s="5"/>
      <c r="B14" s="5"/>
      <c r="C14" s="5"/>
      <c r="D14" s="5"/>
      <c r="E14" s="5"/>
      <c r="F14" s="5"/>
      <c r="G14" s="5"/>
      <c r="H14" s="5"/>
      <c r="I14" s="5"/>
      <c r="J14" s="5"/>
      <c r="K14" s="5"/>
      <c r="L14" s="5"/>
      <c r="M14" s="5"/>
      <c r="N14" s="5"/>
      <c r="O14" s="5"/>
      <c r="P14" s="5"/>
      <c r="Q14" s="5"/>
      <c r="R14" s="5"/>
      <c r="S14" s="5"/>
    </row>
    <row r="15" spans="1:19" x14ac:dyDescent="0.35">
      <c r="A15" s="5"/>
      <c r="B15" s="5"/>
      <c r="C15" s="5"/>
      <c r="D15" s="5"/>
      <c r="E15" s="5"/>
      <c r="F15" s="5"/>
      <c r="G15" s="5"/>
      <c r="H15" s="5"/>
      <c r="I15" s="5"/>
      <c r="J15" s="5"/>
      <c r="K15" s="5"/>
      <c r="L15" s="5"/>
      <c r="M15" s="5"/>
      <c r="N15" s="5"/>
      <c r="O15" s="5"/>
      <c r="P15" s="5"/>
      <c r="Q15" s="5"/>
      <c r="R15" s="5"/>
      <c r="S15" s="5"/>
    </row>
    <row r="16" spans="1:19" x14ac:dyDescent="0.35">
      <c r="A16" s="5"/>
      <c r="B16" s="5"/>
      <c r="C16" s="5"/>
      <c r="D16" s="5"/>
      <c r="E16" s="5"/>
      <c r="F16" s="5"/>
      <c r="G16" s="5"/>
      <c r="H16" s="5"/>
      <c r="I16" s="5"/>
      <c r="J16" s="5"/>
      <c r="K16" s="5"/>
      <c r="L16" s="5"/>
      <c r="M16" s="5"/>
      <c r="N16" s="5"/>
      <c r="O16" s="5"/>
      <c r="P16" s="5"/>
      <c r="Q16" s="5"/>
      <c r="R16" s="5"/>
      <c r="S16" s="5"/>
    </row>
    <row r="17" spans="1:19" x14ac:dyDescent="0.35">
      <c r="A17" s="5"/>
      <c r="B17" s="5"/>
      <c r="C17" s="5"/>
      <c r="D17" s="5"/>
      <c r="E17" s="5"/>
      <c r="F17" s="5"/>
      <c r="G17" s="5"/>
      <c r="H17" s="5"/>
      <c r="I17" s="5"/>
      <c r="J17" s="5"/>
      <c r="K17" s="5"/>
      <c r="L17" s="5"/>
      <c r="M17" s="5"/>
      <c r="N17" s="5"/>
      <c r="O17" s="5"/>
      <c r="P17" s="5"/>
      <c r="Q17" s="5"/>
      <c r="R17" s="5"/>
      <c r="S17" s="5"/>
    </row>
    <row r="18" spans="1:19" x14ac:dyDescent="0.35">
      <c r="A18" s="5"/>
      <c r="B18" s="5"/>
      <c r="C18" s="5"/>
      <c r="D18" s="5"/>
      <c r="E18" s="5"/>
      <c r="F18" s="5"/>
      <c r="G18" s="5"/>
      <c r="H18" s="5"/>
      <c r="I18" s="5"/>
      <c r="J18" s="5"/>
      <c r="K18" s="5"/>
      <c r="L18" s="5"/>
      <c r="M18" s="5"/>
      <c r="N18" s="5"/>
      <c r="O18" s="5"/>
      <c r="P18" s="5"/>
      <c r="Q18" s="5"/>
      <c r="R18" s="5"/>
      <c r="S18" s="5"/>
    </row>
    <row r="19" spans="1:19" x14ac:dyDescent="0.35">
      <c r="A19" s="5"/>
      <c r="B19" s="5"/>
      <c r="C19" s="5"/>
      <c r="D19" s="5"/>
      <c r="E19" s="5"/>
      <c r="F19" s="5"/>
      <c r="G19" s="5"/>
      <c r="H19" s="5"/>
      <c r="I19" s="5"/>
      <c r="J19" s="5"/>
      <c r="K19" s="5"/>
      <c r="L19" s="5"/>
      <c r="M19" s="5"/>
      <c r="N19" s="5"/>
      <c r="O19" s="5"/>
      <c r="P19" s="5"/>
      <c r="Q19" s="5"/>
      <c r="R19" s="5"/>
      <c r="S19" s="5"/>
    </row>
    <row r="20" spans="1:19" x14ac:dyDescent="0.35">
      <c r="A20" s="5"/>
      <c r="B20" s="5"/>
      <c r="C20" s="5"/>
      <c r="D20" s="5"/>
      <c r="E20" s="5"/>
      <c r="F20" s="5"/>
      <c r="G20" s="5"/>
      <c r="H20" s="5"/>
      <c r="I20" s="5"/>
      <c r="J20" s="5"/>
      <c r="K20" s="5"/>
      <c r="L20" s="5"/>
      <c r="M20" s="5"/>
      <c r="N20" s="5"/>
      <c r="O20" s="5"/>
      <c r="P20" s="5"/>
      <c r="Q20" s="5"/>
      <c r="R20" s="5"/>
      <c r="S20" s="5"/>
    </row>
    <row r="21" spans="1:19" x14ac:dyDescent="0.35">
      <c r="A21" s="5"/>
      <c r="B21" s="5"/>
      <c r="C21" s="5"/>
      <c r="D21" s="5"/>
      <c r="E21" s="5"/>
      <c r="F21" s="5"/>
      <c r="G21" s="5"/>
      <c r="H21" s="5"/>
      <c r="I21" s="5"/>
      <c r="J21" s="5"/>
      <c r="K21" s="5"/>
      <c r="L21" s="5"/>
      <c r="M21" s="5"/>
      <c r="N21" s="5"/>
      <c r="O21" s="5"/>
      <c r="P21" s="5"/>
      <c r="Q21" s="5"/>
      <c r="R21" s="5"/>
      <c r="S21" s="5"/>
    </row>
    <row r="22" spans="1:19" x14ac:dyDescent="0.35">
      <c r="A22" s="5"/>
      <c r="B22" s="5"/>
      <c r="C22" s="5"/>
      <c r="D22" s="5"/>
      <c r="E22" s="5"/>
      <c r="F22" s="5"/>
      <c r="G22" s="5"/>
      <c r="H22" s="5"/>
      <c r="I22" s="5"/>
      <c r="J22" s="5"/>
      <c r="K22" s="5"/>
      <c r="L22" s="5"/>
      <c r="M22" s="5"/>
      <c r="N22" s="5"/>
      <c r="O22" s="5"/>
      <c r="P22" s="5"/>
      <c r="Q22" s="5"/>
      <c r="R22" s="5"/>
      <c r="S22" s="5"/>
    </row>
    <row r="23" spans="1:19" x14ac:dyDescent="0.35">
      <c r="A23" s="5"/>
      <c r="B23" s="5"/>
      <c r="C23" s="5"/>
      <c r="D23" s="5"/>
      <c r="E23" s="5"/>
      <c r="F23" s="5"/>
      <c r="G23" s="5"/>
      <c r="H23" s="5"/>
      <c r="I23" s="5"/>
      <c r="J23" s="5"/>
      <c r="K23" s="5"/>
      <c r="L23" s="5"/>
      <c r="M23" s="5"/>
      <c r="N23" s="5"/>
      <c r="O23" s="5"/>
      <c r="P23" s="5"/>
      <c r="Q23" s="5"/>
      <c r="R23" s="5"/>
      <c r="S23" s="5"/>
    </row>
    <row r="24" spans="1:19" x14ac:dyDescent="0.35">
      <c r="A24" s="5"/>
      <c r="B24" s="5"/>
      <c r="C24" s="5"/>
      <c r="D24" s="5"/>
      <c r="E24" s="5"/>
      <c r="F24" s="5"/>
      <c r="G24" s="5"/>
      <c r="H24" s="5"/>
      <c r="I24" s="5"/>
      <c r="J24" s="5"/>
      <c r="K24" s="5"/>
      <c r="L24" s="5"/>
      <c r="M24" s="5"/>
      <c r="N24" s="5"/>
      <c r="O24" s="5"/>
      <c r="P24" s="5"/>
      <c r="Q24" s="5"/>
      <c r="R24" s="5"/>
      <c r="S24" s="5"/>
    </row>
    <row r="25" spans="1:19" x14ac:dyDescent="0.35">
      <c r="A25" s="5"/>
      <c r="B25" s="5"/>
      <c r="C25" s="5"/>
      <c r="D25" s="5"/>
      <c r="E25" s="5"/>
      <c r="F25" s="5"/>
      <c r="G25" s="5"/>
      <c r="H25" s="5"/>
      <c r="I25" s="5"/>
      <c r="J25" s="5"/>
      <c r="K25" s="5"/>
      <c r="L25" s="5"/>
      <c r="M25" s="5"/>
      <c r="N25" s="5"/>
      <c r="O25" s="5"/>
      <c r="P25" s="5"/>
      <c r="Q25" s="5"/>
      <c r="R25" s="5"/>
      <c r="S25" s="5"/>
    </row>
    <row r="26" spans="1:19" x14ac:dyDescent="0.35">
      <c r="A26" s="5"/>
      <c r="B26" s="5"/>
      <c r="C26" s="5"/>
      <c r="D26" s="5"/>
      <c r="E26" s="5"/>
      <c r="F26" s="5"/>
      <c r="G26" s="5"/>
      <c r="H26" s="5"/>
      <c r="I26" s="5"/>
      <c r="J26" s="5"/>
      <c r="K26" s="5"/>
      <c r="L26" s="5"/>
      <c r="M26" s="5"/>
      <c r="N26" s="5"/>
      <c r="O26" s="5"/>
      <c r="P26" s="5"/>
      <c r="Q26" s="5"/>
      <c r="R26" s="5"/>
      <c r="S26" s="5"/>
    </row>
    <row r="27" spans="1:19" x14ac:dyDescent="0.35">
      <c r="A27" s="5"/>
      <c r="B27" s="5"/>
      <c r="C27" s="5"/>
      <c r="D27" s="5"/>
      <c r="E27" s="5"/>
      <c r="F27" s="5"/>
      <c r="G27" s="5"/>
      <c r="H27" s="5"/>
      <c r="I27" s="5"/>
      <c r="J27" s="5"/>
      <c r="K27" s="5"/>
      <c r="L27" s="5"/>
      <c r="M27" s="5"/>
      <c r="N27" s="5"/>
      <c r="O27" s="5"/>
      <c r="P27" s="5"/>
      <c r="Q27" s="5"/>
      <c r="R27" s="5"/>
      <c r="S27" s="5"/>
    </row>
    <row r="28" spans="1:19" x14ac:dyDescent="0.35">
      <c r="A28" s="5"/>
      <c r="B28" s="5"/>
      <c r="C28" s="5"/>
      <c r="D28" s="5"/>
      <c r="E28" s="5"/>
      <c r="F28" s="5"/>
      <c r="G28" s="5"/>
      <c r="H28" s="5"/>
      <c r="I28" s="5"/>
      <c r="J28" s="5"/>
      <c r="K28" s="5"/>
      <c r="L28" s="5"/>
      <c r="M28" s="5"/>
      <c r="N28" s="5"/>
      <c r="O28" s="5"/>
      <c r="P28" s="5"/>
      <c r="Q28" s="5"/>
      <c r="R28" s="5"/>
      <c r="S28" s="5"/>
    </row>
    <row r="29" spans="1:19" x14ac:dyDescent="0.35">
      <c r="A29" s="5"/>
      <c r="B29" s="5"/>
      <c r="C29" s="5"/>
      <c r="D29" s="5"/>
      <c r="E29" s="5"/>
      <c r="F29" s="5"/>
      <c r="G29" s="5"/>
      <c r="H29" s="5"/>
      <c r="I29" s="5"/>
      <c r="J29" s="5"/>
      <c r="K29" s="5"/>
      <c r="L29" s="5"/>
      <c r="M29" s="5"/>
      <c r="N29" s="5"/>
      <c r="O29" s="5"/>
      <c r="P29" s="5"/>
      <c r="Q29" s="5"/>
      <c r="R29" s="5"/>
      <c r="S29" s="5"/>
    </row>
    <row r="30" spans="1:19" x14ac:dyDescent="0.35">
      <c r="A30" s="5"/>
      <c r="B30" s="5"/>
      <c r="C30" s="5"/>
      <c r="D30" s="5"/>
      <c r="E30" s="5"/>
      <c r="F30" s="5"/>
      <c r="G30" s="5"/>
      <c r="H30" s="5"/>
      <c r="I30" s="5"/>
      <c r="J30" s="5"/>
      <c r="K30" s="5"/>
      <c r="L30" s="5"/>
      <c r="M30" s="5"/>
      <c r="N30" s="5"/>
      <c r="O30" s="5"/>
      <c r="P30" s="5"/>
      <c r="Q30" s="5"/>
      <c r="R30" s="5"/>
      <c r="S30" s="5"/>
    </row>
    <row r="31" spans="1:19" x14ac:dyDescent="0.35">
      <c r="A31" s="5"/>
      <c r="B31" s="5"/>
      <c r="C31" s="5"/>
      <c r="D31" s="5"/>
      <c r="E31" s="5"/>
      <c r="F31" s="5"/>
      <c r="G31" s="5"/>
      <c r="H31" s="5"/>
      <c r="I31" s="5"/>
      <c r="J31" s="5"/>
      <c r="K31" s="5"/>
      <c r="L31" s="5"/>
      <c r="M31" s="5"/>
      <c r="N31" s="5"/>
      <c r="O31" s="5"/>
      <c r="P31" s="5"/>
      <c r="Q31" s="5"/>
      <c r="R31" s="5"/>
      <c r="S31" s="5"/>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D9235-E962-48A5-A7F3-C3680E69AF7D}">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BD3E576A-48AE-4C71-B1F7-0EBFD80B80F0}">
  <ds:schemaRefs/>
</ds:datastoreItem>
</file>

<file path=customXml/itemProps2.xml><?xml version="1.0" encoding="utf-8"?>
<ds:datastoreItem xmlns:ds="http://schemas.openxmlformats.org/officeDocument/2006/customXml" ds:itemID="{00E51528-61E9-4B0B-A55D-189ED0ED03B9}">
  <ds:schemaRefs/>
</ds:datastoreItem>
</file>

<file path=customXml/itemProps3.xml><?xml version="1.0" encoding="utf-8"?>
<ds:datastoreItem xmlns:ds="http://schemas.openxmlformats.org/officeDocument/2006/customXml" ds:itemID="{8FA91D3C-7951-480B-B04A-B3B4EC427AB5}">
  <ds:schemaRefs/>
</ds:datastoreItem>
</file>

<file path=customXml/itemProps4.xml><?xml version="1.0" encoding="utf-8"?>
<ds:datastoreItem xmlns:ds="http://schemas.openxmlformats.org/officeDocument/2006/customXml" ds:itemID="{0450F5E9-1141-4F07-8D25-90238BE24FDF}">
  <ds:schemaRefs/>
</ds:datastoreItem>
</file>

<file path=customXml/itemProps5.xml><?xml version="1.0" encoding="utf-8"?>
<ds:datastoreItem xmlns:ds="http://schemas.openxmlformats.org/officeDocument/2006/customXml" ds:itemID="{9DD5EF61-663E-4F40-A441-D0B8E677D47C}">
  <ds:schemaRefs/>
</ds:datastoreItem>
</file>

<file path=customXml/itemProps6.xml><?xml version="1.0" encoding="utf-8"?>
<ds:datastoreItem xmlns:ds="http://schemas.openxmlformats.org/officeDocument/2006/customXml" ds:itemID="{98DAF611-D392-4554-BCC2-AA9C7524E6FF}">
  <ds:schemaRefs/>
</ds:datastoreItem>
</file>

<file path=customXml/itemProps7.xml><?xml version="1.0" encoding="utf-8"?>
<ds:datastoreItem xmlns:ds="http://schemas.openxmlformats.org/officeDocument/2006/customXml" ds:itemID="{8A2AA342-32EF-4C0F-919C-152B55CF6849}">
  <ds:schemaRefs/>
</ds:datastoreItem>
</file>

<file path=customXml/itemProps8.xml><?xml version="1.0" encoding="utf-8"?>
<ds:datastoreItem xmlns:ds="http://schemas.openxmlformats.org/officeDocument/2006/customXml" ds:itemID="{5234565F-1CBE-43BD-A171-FEF606EEE39E}">
  <ds:schemaRefs/>
</ds:datastoreItem>
</file>

<file path=customXml/itemProps9.xml><?xml version="1.0" encoding="utf-8"?>
<ds:datastoreItem xmlns:ds="http://schemas.openxmlformats.org/officeDocument/2006/customXml" ds:itemID="{C0BE80CF-136B-48D7-9320-6129F3B20292}">
  <ds:schemaRefs/>
</ds:datastoreItem>
</file>

<file path=customXml/itemProps10.xml><?xml version="1.0" encoding="utf-8"?>
<ds:datastoreItem xmlns:ds="http://schemas.openxmlformats.org/officeDocument/2006/customXml" ds:itemID="{5F302957-B4D7-486F-B3CE-E2107BADC627}">
  <ds:schemaRefs/>
</ds:datastoreItem>
</file>

<file path=customXml/itemProps11.xml><?xml version="1.0" encoding="utf-8"?>
<ds:datastoreItem xmlns:ds="http://schemas.openxmlformats.org/officeDocument/2006/customXml" ds:itemID="{797A366F-ADAD-402A-9260-7D875F413EE4}">
  <ds:schemaRefs>
    <ds:schemaRef ds:uri="http://schemas.microsoft.com/DataMashup"/>
  </ds:schemaRefs>
</ds:datastoreItem>
</file>

<file path=customXml/itemProps12.xml><?xml version="1.0" encoding="utf-8"?>
<ds:datastoreItem xmlns:ds="http://schemas.openxmlformats.org/officeDocument/2006/customXml" ds:itemID="{A9ED0FF7-03EF-401F-90EE-991360E9D79D}">
  <ds:schemaRefs/>
</ds:datastoreItem>
</file>

<file path=customXml/itemProps13.xml><?xml version="1.0" encoding="utf-8"?>
<ds:datastoreItem xmlns:ds="http://schemas.openxmlformats.org/officeDocument/2006/customXml" ds:itemID="{5ED82819-6131-4B1E-BB29-3C79505C599B}">
  <ds:schemaRefs/>
</ds:datastoreItem>
</file>

<file path=customXml/itemProps14.xml><?xml version="1.0" encoding="utf-8"?>
<ds:datastoreItem xmlns:ds="http://schemas.openxmlformats.org/officeDocument/2006/customXml" ds:itemID="{D7448C17-25FB-47E6-BED5-C7586EC07744}">
  <ds:schemaRefs/>
</ds:datastoreItem>
</file>

<file path=customXml/itemProps15.xml><?xml version="1.0" encoding="utf-8"?>
<ds:datastoreItem xmlns:ds="http://schemas.openxmlformats.org/officeDocument/2006/customXml" ds:itemID="{F6EA413D-5DBC-4EE6-A611-66B520604C81}">
  <ds:schemaRefs/>
</ds:datastoreItem>
</file>

<file path=customXml/itemProps16.xml><?xml version="1.0" encoding="utf-8"?>
<ds:datastoreItem xmlns:ds="http://schemas.openxmlformats.org/officeDocument/2006/customXml" ds:itemID="{349A5288-32EB-4C54-BE37-9F060D454BD4}">
  <ds:schemaRefs/>
</ds:datastoreItem>
</file>

<file path=customXml/itemProps17.xml><?xml version="1.0" encoding="utf-8"?>
<ds:datastoreItem xmlns:ds="http://schemas.openxmlformats.org/officeDocument/2006/customXml" ds:itemID="{C6D21DEA-145B-4A55-A70B-603F4B1AFB6A}">
  <ds:schemaRefs/>
</ds:datastoreItem>
</file>

<file path=customXml/itemProps18.xml><?xml version="1.0" encoding="utf-8"?>
<ds:datastoreItem xmlns:ds="http://schemas.openxmlformats.org/officeDocument/2006/customXml" ds:itemID="{43D87D96-61CD-4D39-8C45-842D083D469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Report</vt:lpstr>
      <vt:lpstr>DashBoard</vt:lpstr>
      <vt:lpstr>No. of Admissions</vt:lpstr>
      <vt:lpstr>Average Wait-Time</vt:lpstr>
      <vt:lpstr>Satisfaction Score</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Prem Sharan</dc:creator>
  <cp:lastModifiedBy>Prem Sharan</cp:lastModifiedBy>
  <dcterms:created xsi:type="dcterms:W3CDTF">2026-07-13T05:08:30Z</dcterms:created>
  <dcterms:modified xsi:type="dcterms:W3CDTF">2026-07-14T07:49:22Z</dcterms:modified>
</cp:coreProperties>
</file>